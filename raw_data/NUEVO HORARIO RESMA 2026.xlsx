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rario" sheetId="1" r:id="rId4"/>
    <sheet state="visible" name="HORARIO 2026" sheetId="2" r:id="rId5"/>
    <sheet state="visible" name="Horario oficial (Régimen de inc" sheetId="3" r:id="rId6"/>
    <sheet state="visible" name="PRIMER AÑO" sheetId="4" r:id="rId7"/>
    <sheet state="visible" name="SEGUNDO AÑO" sheetId="5" r:id="rId8"/>
    <sheet state="visible" name="TERCER AÑO" sheetId="6" r:id="rId9"/>
    <sheet state="hidden" name="Hoja 2" sheetId="7" r:id="rId10"/>
  </sheets>
  <definedNames/>
  <calcPr/>
  <extLst>
    <ext uri="GoogleSheetsCustomDataVersion2">
      <go:sheetsCustomData xmlns:go="http://customooxmlschemas.google.com/" r:id="rId11" roundtripDataChecksum="5uymi3WkKhQa8zHbHZCzH6chgsoTnoGJIwYM45nuBts="/>
    </ext>
  </extLst>
</workbook>
</file>

<file path=xl/sharedStrings.xml><?xml version="1.0" encoding="utf-8"?>
<sst xmlns="http://schemas.openxmlformats.org/spreadsheetml/2006/main" count="579" uniqueCount="87">
  <si>
    <t>Primer Año</t>
  </si>
  <si>
    <t>INICIO</t>
  </si>
  <si>
    <t>FIN</t>
  </si>
  <si>
    <t>LUNES</t>
  </si>
  <si>
    <t>MARTES</t>
  </si>
  <si>
    <t>MIERCOLES</t>
  </si>
  <si>
    <t>JUEVES</t>
  </si>
  <si>
    <t>VIERNES</t>
  </si>
  <si>
    <t xml:space="preserve">INGLES                       Andrea Sanchez                    </t>
  </si>
  <si>
    <t>LENGUA                              Julieta Celuci</t>
  </si>
  <si>
    <t xml:space="preserve">FIS-QUIM.             Miguel Bueno </t>
  </si>
  <si>
    <t>MATEMÁTICA               Toro E</t>
  </si>
  <si>
    <t>HISTORIA                Pablo Gliner Berne</t>
  </si>
  <si>
    <t>T.O.V.O.                    Andrea Viloria</t>
  </si>
  <si>
    <t>GEOGRAFÍA       Manuel Rocuzzo</t>
  </si>
  <si>
    <t>BIOLOGÍA                                           Laura Tione</t>
  </si>
  <si>
    <t>RECREO</t>
  </si>
  <si>
    <t>FORM P/ TRAB.                         Miguel Daniele</t>
  </si>
  <si>
    <t>T CIUD Y PARTIC        Pablo Glineur Berne</t>
  </si>
  <si>
    <t>S E G U N D O    A Ñ O</t>
  </si>
  <si>
    <t>CSD                              Laura Tione</t>
  </si>
  <si>
    <t>---------------</t>
  </si>
  <si>
    <t>FISICA  
Laura Tione</t>
  </si>
  <si>
    <t>DTySS                      Miguel Daniele</t>
  </si>
  <si>
    <t>FISICA 
Laura Tione</t>
  </si>
  <si>
    <t>MATEMÁTICA      Florencia Ojeda</t>
  </si>
  <si>
    <t>HISTORIA                      Victoria Meneses</t>
  </si>
  <si>
    <t xml:space="preserve">QUIMICA                         Miguel Bueno                   </t>
  </si>
  <si>
    <t>LENGUA         Julieta Celuci  / INGLES Andrea Sanchez</t>
  </si>
  <si>
    <t>PEA                     Diego Pinto</t>
  </si>
  <si>
    <t>LENGUA / INGLES        Julieta Celuci   Andrea Sanchez</t>
  </si>
  <si>
    <t>PSIC SOCIAL             Andrea Viloria</t>
  </si>
  <si>
    <t>LENGUA Y LITERATURA         Julieta Celuci</t>
  </si>
  <si>
    <t>T E R C E R   A Ñ O</t>
  </si>
  <si>
    <t>LENGUA Y LITERATURA             Melisa Gnesutta</t>
  </si>
  <si>
    <t>Amb Des Soc            Santiago Giayetto</t>
  </si>
  <si>
    <t>EVSO                                Santiago Giayetto</t>
  </si>
  <si>
    <t>MATEMÁTICA               Eduardo Toro</t>
  </si>
  <si>
    <t>EVSO                                     Santiago Giayeto</t>
  </si>
  <si>
    <t>LENGUA Y LITERATURA            Melisa Gnesutta                 Inglés                              Andrea Sánchez</t>
  </si>
  <si>
    <t>E S A A L                                Pablo Gliner Berne</t>
  </si>
  <si>
    <t xml:space="preserve">Prev Sal Pub Com Laura Tione                     </t>
  </si>
  <si>
    <t>Inglés                              Andrea Sánchez</t>
  </si>
  <si>
    <t>Prob Salud Hum y Amb                   Maximiliano Bazid</t>
  </si>
  <si>
    <t>SOCIOLOGIA                 Pablo Gliner Berne</t>
  </si>
  <si>
    <t xml:space="preserve">E S A A L                                  Pablo Gliner Berne </t>
  </si>
  <si>
    <t>PRIMER AÑO</t>
  </si>
  <si>
    <t>MIÉRCOLES</t>
  </si>
  <si>
    <t>LENGUA Y LITERATURA            Martina Paruzzo</t>
  </si>
  <si>
    <t xml:space="preserve">FIS-QUÍM.             Miguel Bueno  </t>
  </si>
  <si>
    <t xml:space="preserve">LENGUA Y LITERATURA            Martina Paruzzo                     </t>
  </si>
  <si>
    <t>MATEMÁTICA               Natalia Leiria</t>
  </si>
  <si>
    <t xml:space="preserve">INGLÉS                       Andrea Sanchez                    </t>
  </si>
  <si>
    <t>MATEMÁTICA               Leiria Natalia</t>
  </si>
  <si>
    <t xml:space="preserve">FIS-QUÍM.             Miguel Bueno </t>
  </si>
  <si>
    <r>
      <rPr>
        <rFont val="Arial"/>
        <color theme="1"/>
        <sz val="12.0"/>
      </rPr>
      <t xml:space="preserve">LENGUA Y LITERATURA            Martina Paruzzo   </t>
    </r>
    <r>
      <rPr>
        <rFont val="Arial"/>
        <color theme="1"/>
        <sz val="12.0"/>
      </rPr>
      <t xml:space="preserve">                    </t>
    </r>
  </si>
  <si>
    <t xml:space="preserve">INGLÉS                       Andrea Sánchez                    </t>
  </si>
  <si>
    <t>HISTORIA                           Pablo Glineur Berne    GEOGRAFÍA                 Manuel Rocuzzo</t>
  </si>
  <si>
    <t>TALLER            Pablo Glineur Berne</t>
  </si>
  <si>
    <t>S E G U N D O  A Ñ O</t>
  </si>
  <si>
    <t>FÍSICA  
Laura Tione</t>
  </si>
  <si>
    <t xml:space="preserve">QUÍMICA                         Miguel Bueno                   </t>
  </si>
  <si>
    <t>INGLÉS                       Andrea Sánchez                    LENGUA Y LITERATURA            Martina Paruzzo</t>
  </si>
  <si>
    <t>INGLÉS                         Andrea Sánchez</t>
  </si>
  <si>
    <t>LENGUA Y LITERATURA                     Romina Reynoso</t>
  </si>
  <si>
    <t>E S A A L                                Pablo Glineur Berne</t>
  </si>
  <si>
    <t>SOCIOLOGÍA                 Pablo Glineur Berne</t>
  </si>
  <si>
    <t xml:space="preserve"> </t>
  </si>
  <si>
    <t>s</t>
  </si>
  <si>
    <r>
      <rPr>
        <rFont val="Arial"/>
        <color theme="1"/>
        <sz val="12.0"/>
      </rPr>
      <t xml:space="preserve">LENGUA Y LITERATURA            Martina Paruzzo   </t>
    </r>
    <r>
      <rPr>
        <rFont val="Arial"/>
        <color theme="1"/>
        <sz val="12.0"/>
      </rPr>
      <t xml:space="preserve">                    </t>
    </r>
  </si>
  <si>
    <t>GEOGRAFÍA       Manuel Rocuzzo               HISTORIA         Pablo Glineur Berne</t>
  </si>
  <si>
    <t>INGLÉS             Andrea Sanchez  LENGUA Y LITERATURA            Martina Paruzzo</t>
  </si>
  <si>
    <t>INGLÉS               Andrea Sanchez   LENGUA Y LITERATURA            Martina Paruzzo</t>
  </si>
  <si>
    <r>
      <rPr>
        <rFont val="Arial"/>
        <color theme="1"/>
        <sz val="12.0"/>
      </rPr>
      <t xml:space="preserve">LENGUA Y LITERATURA            Martina Paruzzo   </t>
    </r>
    <r>
      <rPr>
        <rFont val="Arial"/>
        <color theme="1"/>
        <sz val="12.0"/>
      </rPr>
      <t xml:space="preserve">                    </t>
    </r>
  </si>
  <si>
    <r>
      <rPr>
        <rFont val="Arial"/>
        <b/>
        <color theme="1"/>
        <sz val="14.0"/>
      </rPr>
      <t xml:space="preserve">INICIO 18:15 hs       </t>
    </r>
    <r>
      <rPr>
        <rFont val="Arial"/>
        <color theme="1"/>
        <sz val="14.0"/>
      </rPr>
      <t xml:space="preserve">                                                  </t>
    </r>
    <r>
      <rPr>
        <rFont val="Arial"/>
        <b/>
        <color theme="1"/>
        <sz val="14.0"/>
      </rPr>
      <t xml:space="preserve"> Trayecto Formativo en Informática</t>
    </r>
  </si>
  <si>
    <t>de Paro</t>
  </si>
  <si>
    <t>dia</t>
  </si>
  <si>
    <t>Profe</t>
  </si>
  <si>
    <t>Horas</t>
  </si>
  <si>
    <t>curso</t>
  </si>
  <si>
    <t>martes</t>
  </si>
  <si>
    <t>Bettera</t>
  </si>
  <si>
    <t>Miercoles</t>
  </si>
  <si>
    <t>Bueno</t>
  </si>
  <si>
    <t>Rios</t>
  </si>
  <si>
    <t>Gliner Berne</t>
  </si>
  <si>
    <t>Giayetto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</si>
</sst>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i/>
      <sz val="18.0"/>
      <color theme="1"/>
      <name val="Arial"/>
    </font>
    <font/>
    <font>
      <sz val="13.0"/>
      <color theme="1"/>
      <name val="Arial"/>
    </font>
    <font>
      <b/>
      <sz val="13.0"/>
      <color theme="1"/>
      <name val="Arial"/>
    </font>
    <font>
      <b/>
      <sz val="13.0"/>
      <color rgb="FFFF0000"/>
      <name val="Arial"/>
    </font>
    <font>
      <color theme="1"/>
      <name val="Arial"/>
    </font>
    <font>
      <b/>
      <i/>
      <sz val="24.0"/>
      <color theme="1"/>
      <name val="Arial"/>
    </font>
    <font>
      <b/>
      <i/>
      <sz val="13.0"/>
      <color theme="1"/>
      <name val="Arial"/>
    </font>
    <font>
      <sz val="13.0"/>
      <color rgb="FF000000"/>
      <name val="Arial"/>
    </font>
    <font>
      <sz val="10.0"/>
      <color theme="1"/>
      <name val="Arial"/>
    </font>
    <font>
      <b/>
      <sz val="24.0"/>
      <color theme="1"/>
      <name val="Arial"/>
    </font>
    <font>
      <b/>
      <sz val="13.0"/>
      <color rgb="FF000000"/>
      <name val="Arial"/>
    </font>
    <font>
      <sz val="12.0"/>
      <color theme="1"/>
      <name val="Arial"/>
    </font>
    <font>
      <sz val="11.0"/>
      <color theme="1"/>
      <name val="Arial"/>
    </font>
    <font>
      <sz val="12.0"/>
      <color rgb="FF000000"/>
      <name val="Arial"/>
    </font>
    <font>
      <b/>
      <i/>
      <sz val="23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i/>
      <sz val="14.0"/>
      <color rgb="FFD9D9D9"/>
      <name val="Arial"/>
    </font>
    <font>
      <i/>
      <sz val="13.0"/>
      <color rgb="FFD9D9D9"/>
      <name val="Arial"/>
    </font>
    <font>
      <b/>
      <color theme="1"/>
      <name val="Arial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4" fillId="2" fontId="5" numFmtId="20" xfId="0" applyAlignment="1" applyBorder="1" applyFill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0" fillId="0" fontId="3" numFmtId="20" xfId="0" applyFont="1" applyNumberFormat="1"/>
    <xf borderId="4" fillId="0" fontId="4" numFmtId="20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3" fontId="3" numFmtId="20" xfId="0" applyAlignment="1" applyBorder="1" applyFill="1" applyFont="1" applyNumberForma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0" fontId="6" numFmtId="0" xfId="0" applyBorder="1" applyFont="1"/>
    <xf borderId="0" fillId="0" fontId="4" numFmtId="0" xfId="0" applyAlignment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3" fillId="0" fontId="2" numFmtId="0" xfId="0" applyBorder="1" applyFont="1"/>
    <xf borderId="8" fillId="0" fontId="8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/>
    </xf>
    <xf borderId="4" fillId="0" fontId="4" numFmtId="20" xfId="0" applyAlignment="1" applyBorder="1" applyFont="1" applyNumberFormat="1">
      <alignment horizontal="center" vertical="center"/>
    </xf>
    <xf borderId="4" fillId="4" fontId="3" numFmtId="0" xfId="0" applyAlignment="1" applyBorder="1" applyFill="1" applyFont="1">
      <alignment horizontal="center" shrinkToFit="0" vertical="center" wrapText="1"/>
    </xf>
    <xf borderId="4" fillId="3" fontId="10" numFmtId="20" xfId="0" applyAlignment="1" applyBorder="1" applyFont="1" applyNumberFormat="1">
      <alignment horizontal="center" vertical="center"/>
    </xf>
    <xf borderId="4" fillId="3" fontId="10" numFmtId="20" xfId="0" applyAlignment="1" applyBorder="1" applyFont="1" applyNumberForma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4" numFmtId="20" xfId="0" applyAlignment="1" applyFont="1" applyNumberFormat="1">
      <alignment horizontal="center" vertical="center"/>
    </xf>
    <xf borderId="0" fillId="0" fontId="4" numFmtId="20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8" fillId="0" fontId="3" numFmtId="0" xfId="0" applyBorder="1" applyFont="1"/>
    <xf borderId="1" fillId="0" fontId="11" numFmtId="0" xfId="0" applyAlignment="1" applyBorder="1" applyFont="1">
      <alignment horizontal="center" vertical="center"/>
    </xf>
    <xf borderId="4" fillId="5" fontId="5" numFmtId="20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0" fontId="6" numFmtId="0" xfId="0" applyBorder="1" applyFont="1"/>
    <xf borderId="4" fillId="6" fontId="3" numFmtId="0" xfId="0" applyAlignment="1" applyBorder="1" applyFill="1" applyFont="1">
      <alignment horizontal="center" shrinkToFit="0" vertical="center" wrapText="1"/>
    </xf>
    <xf borderId="4" fillId="0" fontId="3" numFmtId="20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4" fillId="2" fontId="12" numFmtId="20" xfId="0" applyAlignment="1" applyBorder="1" applyFont="1" applyNumberFormat="1">
      <alignment horizontal="center" shrinkToFit="0" vertical="center" wrapText="1"/>
    </xf>
    <xf borderId="4" fillId="2" fontId="12" numFmtId="20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vertical="center"/>
    </xf>
    <xf borderId="4" fillId="0" fontId="4" numFmtId="20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4" fillId="4" fontId="3" numFmtId="20" xfId="0" applyAlignment="1" applyBorder="1" applyFont="1" applyNumberForma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vertical="center"/>
    </xf>
    <xf borderId="7" fillId="2" fontId="15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4" fillId="2" fontId="4" numFmtId="20" xfId="0" applyAlignment="1" applyBorder="1" applyFont="1" applyNumberFormat="1">
      <alignment horizontal="center" shrinkToFit="0" wrapText="1"/>
    </xf>
    <xf borderId="3" fillId="2" fontId="4" numFmtId="20" xfId="0" applyAlignment="1" applyBorder="1" applyFont="1" applyNumberFormat="1">
      <alignment horizontal="center" shrinkToFit="0" wrapText="1"/>
    </xf>
    <xf borderId="5" fillId="0" fontId="4" numFmtId="20" xfId="0" applyAlignment="1" applyBorder="1" applyFont="1" applyNumberFormat="1">
      <alignment horizontal="center" shrinkToFit="0" wrapText="1"/>
    </xf>
    <xf borderId="6" fillId="0" fontId="4" numFmtId="20" xfId="0" applyAlignment="1" applyBorder="1" applyFont="1" applyNumberForma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4" fillId="2" fontId="12" numFmtId="20" xfId="0" applyAlignment="1" applyBorder="1" applyFont="1" applyNumberFormat="1">
      <alignment horizontal="center" shrinkToFit="0" wrapText="1"/>
    </xf>
    <xf borderId="3" fillId="2" fontId="12" numFmtId="20" xfId="0" applyAlignment="1" applyBorder="1" applyFont="1" applyNumberFormat="1">
      <alignment horizontal="center" shrinkToFit="0" wrapText="1"/>
    </xf>
    <xf borderId="7" fillId="2" fontId="15" numFmtId="0" xfId="0" applyAlignment="1" applyBorder="1" applyFont="1">
      <alignment horizontal="center"/>
    </xf>
    <xf borderId="4" fillId="2" fontId="4" numFmtId="20" xfId="0" applyAlignment="1" applyBorder="1" applyFont="1" applyNumberFormat="1">
      <alignment horizontal="center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vertical="center"/>
    </xf>
    <xf borderId="4" fillId="7" fontId="13" numFmtId="0" xfId="0" applyAlignment="1" applyBorder="1" applyFill="1" applyFont="1">
      <alignment horizontal="center" readingOrder="0" shrinkToFit="0" vertical="center" wrapText="1"/>
    </xf>
    <xf borderId="4" fillId="0" fontId="17" numFmtId="20" xfId="0" applyAlignment="1" applyBorder="1" applyFont="1" applyNumberFormat="1">
      <alignment horizontal="center" readingOrder="0" shrinkToFit="0" vertical="center" wrapText="1"/>
    </xf>
    <xf borderId="4" fillId="0" fontId="12" numFmtId="20" xfId="0" applyAlignment="1" applyBorder="1" applyFont="1" applyNumberFormat="1">
      <alignment horizontal="center" readingOrder="0" shrinkToFit="0" vertical="center" wrapText="1"/>
    </xf>
    <xf borderId="1" fillId="6" fontId="18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0" fontId="4" numFmtId="20" xfId="0" applyAlignment="1" applyBorder="1" applyFont="1" applyNumberFormat="1">
      <alignment horizontal="center" readingOrder="0" vertical="center"/>
    </xf>
    <xf borderId="4" fillId="0" fontId="20" numFmtId="0" xfId="0" applyAlignment="1" applyBorder="1" applyFont="1">
      <alignment horizontal="center" shrinkToFit="0" vertical="center" wrapText="1"/>
    </xf>
    <xf borderId="4" fillId="4" fontId="3" numFmtId="20" xfId="0" applyAlignment="1" applyBorder="1" applyFont="1" applyNumberFormat="1">
      <alignment horizontal="center" readingOrder="0" vertical="center"/>
    </xf>
    <xf borderId="4" fillId="4" fontId="3" numFmtId="0" xfId="0" applyAlignment="1" applyBorder="1" applyFont="1">
      <alignment horizontal="center" vertical="center"/>
    </xf>
    <xf borderId="0" fillId="0" fontId="21" numFmtId="0" xfId="0" applyFont="1"/>
    <xf borderId="0" fillId="0" fontId="22" numFmtId="0" xfId="0" applyFont="1"/>
    <xf borderId="0" fillId="0" fontId="22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6" numFmtId="0" xfId="0" applyAlignment="1" applyFont="1">
      <alignment horizontal="center"/>
    </xf>
    <xf borderId="4" fillId="0" fontId="22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4" fillId="0" fontId="13" numFmtId="0" xfId="0" applyAlignment="1" applyBorder="1" applyFont="1">
      <alignment horizontal="center"/>
    </xf>
    <xf borderId="4" fillId="8" fontId="6" numFmtId="0" xfId="0" applyAlignment="1" applyBorder="1" applyFill="1" applyFont="1">
      <alignment horizontal="center"/>
    </xf>
    <xf borderId="4" fillId="9" fontId="22" numFmtId="0" xfId="0" applyAlignment="1" applyBorder="1" applyFill="1" applyFont="1">
      <alignment horizontal="center"/>
    </xf>
    <xf borderId="4" fillId="9" fontId="13" numFmtId="0" xfId="0" applyAlignment="1" applyBorder="1" applyFont="1">
      <alignment horizontal="center"/>
    </xf>
    <xf borderId="0" fillId="0" fontId="6" numFmtId="0" xfId="0" applyFont="1"/>
    <xf borderId="0" fillId="0" fontId="6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11.75"/>
    <col customWidth="1" min="3" max="7" width="19.5"/>
    <col customWidth="1" min="8" max="8" width="51.63"/>
    <col customWidth="1" min="9" max="27" width="18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10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60.75" customHeight="1">
      <c r="A3" s="11">
        <v>0.7847222222222222</v>
      </c>
      <c r="B3" s="11">
        <f t="shared" ref="B3:B9" si="1">A4</f>
        <v>0.8055555556</v>
      </c>
      <c r="C3" s="12" t="s">
        <v>8</v>
      </c>
      <c r="D3" s="13" t="s">
        <v>9</v>
      </c>
      <c r="E3" s="12" t="s">
        <v>10</v>
      </c>
      <c r="F3" s="13" t="s">
        <v>9</v>
      </c>
      <c r="G3" s="13" t="s">
        <v>11</v>
      </c>
      <c r="H3" s="14"/>
      <c r="I3" s="15">
        <v>0.020833333333333332</v>
      </c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9.25" customHeight="1">
      <c r="A4" s="16">
        <f t="shared" ref="A4:A10" si="2">B4-I4</f>
        <v>0.8055555556</v>
      </c>
      <c r="B4" s="16">
        <f t="shared" si="1"/>
        <v>0.8263888889</v>
      </c>
      <c r="C4" s="12" t="s">
        <v>8</v>
      </c>
      <c r="D4" s="13" t="s">
        <v>9</v>
      </c>
      <c r="E4" s="12" t="s">
        <v>10</v>
      </c>
      <c r="F4" s="13" t="s">
        <v>9</v>
      </c>
      <c r="G4" s="13" t="s">
        <v>11</v>
      </c>
      <c r="H4" s="17"/>
      <c r="I4" s="15">
        <v>0.020833333333333332</v>
      </c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46.5" customHeight="1">
      <c r="A5" s="16">
        <f t="shared" si="2"/>
        <v>0.8263888889</v>
      </c>
      <c r="B5" s="16">
        <f t="shared" si="1"/>
        <v>0.8472222222</v>
      </c>
      <c r="C5" s="12" t="s">
        <v>8</v>
      </c>
      <c r="D5" s="13" t="s">
        <v>9</v>
      </c>
      <c r="E5" s="12" t="s">
        <v>10</v>
      </c>
      <c r="F5" s="13" t="s">
        <v>12</v>
      </c>
      <c r="G5" s="18" t="s">
        <v>13</v>
      </c>
      <c r="H5" s="17"/>
      <c r="I5" s="15">
        <v>0.020833333333333332</v>
      </c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46.5" customHeight="1">
      <c r="A6" s="16">
        <f t="shared" si="2"/>
        <v>0.8472222222</v>
      </c>
      <c r="B6" s="16">
        <f t="shared" si="1"/>
        <v>0.8680555556</v>
      </c>
      <c r="C6" s="13" t="s">
        <v>11</v>
      </c>
      <c r="D6" s="12" t="s">
        <v>14</v>
      </c>
      <c r="E6" s="12" t="s">
        <v>15</v>
      </c>
      <c r="F6" s="13" t="s">
        <v>12</v>
      </c>
      <c r="G6" s="18" t="s">
        <v>13</v>
      </c>
      <c r="H6" s="17"/>
      <c r="I6" s="15">
        <v>0.020833333333333332</v>
      </c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9.5" customHeight="1">
      <c r="A7" s="19">
        <f t="shared" si="2"/>
        <v>0.8680555556</v>
      </c>
      <c r="B7" s="19">
        <f t="shared" si="1"/>
        <v>0.875</v>
      </c>
      <c r="C7" s="13" t="s">
        <v>16</v>
      </c>
      <c r="D7" s="20" t="s">
        <v>16</v>
      </c>
      <c r="E7" s="20" t="s">
        <v>16</v>
      </c>
      <c r="F7" s="20" t="s">
        <v>16</v>
      </c>
      <c r="G7" s="21" t="s">
        <v>16</v>
      </c>
      <c r="H7" s="17"/>
      <c r="I7" s="15">
        <v>0.006944444444444444</v>
      </c>
      <c r="J7" s="2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52.5" customHeight="1">
      <c r="A8" s="16">
        <f t="shared" si="2"/>
        <v>0.875</v>
      </c>
      <c r="B8" s="16">
        <f t="shared" si="1"/>
        <v>0.8958333333</v>
      </c>
      <c r="C8" s="13" t="s">
        <v>11</v>
      </c>
      <c r="D8" s="12" t="s">
        <v>14</v>
      </c>
      <c r="E8" s="12" t="s">
        <v>15</v>
      </c>
      <c r="F8" s="12" t="s">
        <v>17</v>
      </c>
      <c r="H8" s="17"/>
      <c r="I8" s="15">
        <v>0.020833333333333332</v>
      </c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52.5" customHeight="1">
      <c r="A9" s="16">
        <f t="shared" si="2"/>
        <v>0.8958333333</v>
      </c>
      <c r="B9" s="16">
        <f t="shared" si="1"/>
        <v>0.9166666667</v>
      </c>
      <c r="C9" s="13" t="s">
        <v>11</v>
      </c>
      <c r="D9" s="12" t="s">
        <v>18</v>
      </c>
      <c r="E9" s="12" t="s">
        <v>15</v>
      </c>
      <c r="F9" s="12" t="s">
        <v>17</v>
      </c>
      <c r="G9" s="23"/>
      <c r="H9" s="17"/>
      <c r="I9" s="15">
        <v>0.020833333333333332</v>
      </c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52.5" customHeight="1">
      <c r="A10" s="16">
        <f t="shared" si="2"/>
        <v>0.9166666667</v>
      </c>
      <c r="B10" s="16">
        <v>0.9375</v>
      </c>
      <c r="C10" s="12"/>
      <c r="D10" s="12" t="s">
        <v>18</v>
      </c>
      <c r="E10" s="12"/>
      <c r="F10" s="12" t="s">
        <v>17</v>
      </c>
      <c r="G10" s="23"/>
      <c r="H10" s="14"/>
      <c r="I10" s="15">
        <v>0.020833333333333332</v>
      </c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5"/>
      <c r="B11" s="5"/>
      <c r="C11" s="22"/>
      <c r="D11" s="24"/>
      <c r="E11" s="22"/>
      <c r="F11" s="22"/>
      <c r="G11" s="22"/>
      <c r="H11" s="14"/>
      <c r="I11" s="4"/>
      <c r="J11" s="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5"/>
      <c r="B12" s="5"/>
      <c r="C12" s="22"/>
      <c r="D12" s="22"/>
      <c r="E12" s="22"/>
      <c r="F12" s="22"/>
      <c r="G12" s="22"/>
      <c r="H12" s="14"/>
      <c r="I12" s="4"/>
      <c r="J12" s="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50.25" customHeight="1">
      <c r="A13" s="5"/>
      <c r="B13" s="25"/>
      <c r="C13" s="26"/>
      <c r="D13" s="26"/>
      <c r="E13" s="26"/>
      <c r="F13" s="26"/>
      <c r="G13" s="26"/>
      <c r="H13" s="14"/>
      <c r="I13" s="4"/>
      <c r="J13" s="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27" t="s">
        <v>19</v>
      </c>
      <c r="B14" s="2"/>
      <c r="C14" s="2"/>
      <c r="D14" s="2"/>
      <c r="E14" s="2"/>
      <c r="F14" s="2"/>
      <c r="G14" s="28"/>
      <c r="H14" s="29"/>
      <c r="I14" s="4"/>
      <c r="J14" s="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30" t="s">
        <v>1</v>
      </c>
      <c r="B15" s="31" t="s">
        <v>2</v>
      </c>
      <c r="C15" s="32" t="s">
        <v>3</v>
      </c>
      <c r="D15" s="32" t="s">
        <v>4</v>
      </c>
      <c r="E15" s="32" t="s">
        <v>5</v>
      </c>
      <c r="F15" s="32" t="s">
        <v>6</v>
      </c>
      <c r="G15" s="25" t="s">
        <v>7</v>
      </c>
      <c r="H15" s="33"/>
      <c r="I15" s="4"/>
      <c r="J15" s="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46.5" customHeight="1">
      <c r="A16" s="11">
        <f t="shared" ref="A16:A23" si="3">B16-I16</f>
        <v>0.7847222222</v>
      </c>
      <c r="B16" s="11">
        <f t="shared" ref="B16:B22" si="4">A17</f>
        <v>0.8055555556</v>
      </c>
      <c r="C16" s="34" t="s">
        <v>20</v>
      </c>
      <c r="D16" s="35" t="s">
        <v>21</v>
      </c>
      <c r="E16" s="36" t="s">
        <v>22</v>
      </c>
      <c r="F16" s="12" t="s">
        <v>23</v>
      </c>
      <c r="G16" s="35" t="s">
        <v>21</v>
      </c>
      <c r="H16" s="14"/>
      <c r="I16" s="15">
        <v>0.020833333333333332</v>
      </c>
      <c r="J16" s="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45.75" customHeight="1">
      <c r="A17" s="37">
        <f t="shared" si="3"/>
        <v>0.8055555556</v>
      </c>
      <c r="B17" s="16">
        <f t="shared" si="4"/>
        <v>0.8263888889</v>
      </c>
      <c r="C17" s="34" t="s">
        <v>20</v>
      </c>
      <c r="D17" s="35" t="s">
        <v>21</v>
      </c>
      <c r="E17" s="36" t="s">
        <v>24</v>
      </c>
      <c r="F17" s="12" t="s">
        <v>23</v>
      </c>
      <c r="G17" s="12" t="s">
        <v>25</v>
      </c>
      <c r="I17" s="15">
        <v>0.020833333333333332</v>
      </c>
      <c r="J17" s="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47.25" customHeight="1">
      <c r="A18" s="37">
        <f t="shared" si="3"/>
        <v>0.8263888889</v>
      </c>
      <c r="B18" s="16">
        <f t="shared" si="4"/>
        <v>0.8472222222</v>
      </c>
      <c r="C18" s="34" t="s">
        <v>20</v>
      </c>
      <c r="D18" s="12" t="s">
        <v>26</v>
      </c>
      <c r="E18" s="36" t="s">
        <v>24</v>
      </c>
      <c r="F18" s="12" t="s">
        <v>23</v>
      </c>
      <c r="G18" s="12" t="s">
        <v>25</v>
      </c>
      <c r="I18" s="15">
        <v>0.020833333333333332</v>
      </c>
      <c r="J18" s="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51.75" customHeight="1">
      <c r="A19" s="37">
        <f t="shared" si="3"/>
        <v>0.8472222222</v>
      </c>
      <c r="B19" s="16">
        <f t="shared" si="4"/>
        <v>0.8680555556</v>
      </c>
      <c r="C19" s="34" t="s">
        <v>20</v>
      </c>
      <c r="D19" s="12" t="s">
        <v>26</v>
      </c>
      <c r="E19" s="12" t="s">
        <v>27</v>
      </c>
      <c r="F19" s="38" t="s">
        <v>28</v>
      </c>
      <c r="G19" s="12" t="s">
        <v>25</v>
      </c>
      <c r="H19" s="17"/>
      <c r="I19" s="15">
        <v>0.020833333333333332</v>
      </c>
      <c r="J19" s="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0.25" customHeight="1">
      <c r="A20" s="39">
        <f t="shared" si="3"/>
        <v>0.8680555556</v>
      </c>
      <c r="B20" s="40">
        <f t="shared" si="4"/>
        <v>0.875</v>
      </c>
      <c r="C20" s="41" t="s">
        <v>16</v>
      </c>
      <c r="D20" s="41" t="s">
        <v>16</v>
      </c>
      <c r="E20" s="41" t="s">
        <v>16</v>
      </c>
      <c r="F20" s="41" t="s">
        <v>16</v>
      </c>
      <c r="G20" s="42" t="s">
        <v>16</v>
      </c>
      <c r="H20" s="17"/>
      <c r="I20" s="15">
        <v>0.006944444444444444</v>
      </c>
      <c r="J20" s="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61.5" customHeight="1">
      <c r="A21" s="37">
        <f t="shared" si="3"/>
        <v>0.875</v>
      </c>
      <c r="B21" s="16">
        <f t="shared" si="4"/>
        <v>0.8958333333</v>
      </c>
      <c r="C21" s="12" t="s">
        <v>29</v>
      </c>
      <c r="D21" s="12" t="s">
        <v>26</v>
      </c>
      <c r="E21" s="12" t="s">
        <v>27</v>
      </c>
      <c r="F21" s="38" t="s">
        <v>30</v>
      </c>
      <c r="G21" s="18" t="s">
        <v>31</v>
      </c>
      <c r="H21" s="17"/>
      <c r="I21" s="15">
        <v>0.020833333333333332</v>
      </c>
      <c r="J21" s="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61.5" customHeight="1">
      <c r="A22" s="37">
        <f t="shared" si="3"/>
        <v>0.8958333333</v>
      </c>
      <c r="B22" s="16">
        <f t="shared" si="4"/>
        <v>0.9166666667</v>
      </c>
      <c r="C22" s="12" t="s">
        <v>29</v>
      </c>
      <c r="D22" s="35" t="s">
        <v>21</v>
      </c>
      <c r="E22" s="12" t="s">
        <v>27</v>
      </c>
      <c r="F22" s="12" t="s">
        <v>32</v>
      </c>
      <c r="G22" s="18" t="s">
        <v>31</v>
      </c>
      <c r="H22" s="14"/>
      <c r="I22" s="15">
        <v>0.020833333333333332</v>
      </c>
      <c r="J22" s="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61.5" customHeight="1">
      <c r="A23" s="37">
        <f t="shared" si="3"/>
        <v>0.9166666667</v>
      </c>
      <c r="B23" s="16">
        <v>0.9375</v>
      </c>
      <c r="C23" s="12" t="s">
        <v>29</v>
      </c>
      <c r="D23" s="35" t="s">
        <v>21</v>
      </c>
      <c r="E23" s="35" t="s">
        <v>21</v>
      </c>
      <c r="F23" s="12" t="s">
        <v>32</v>
      </c>
      <c r="G23" s="18" t="s">
        <v>31</v>
      </c>
      <c r="H23" s="14"/>
      <c r="I23" s="15">
        <v>0.020833333333333332</v>
      </c>
      <c r="J23" s="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3"/>
      <c r="H24" s="29"/>
      <c r="I24" s="4"/>
      <c r="J24" s="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39.0" customHeight="1">
      <c r="A25" s="5"/>
      <c r="B25" s="5"/>
      <c r="C25" s="5"/>
      <c r="D25" s="5"/>
      <c r="E25" s="5"/>
      <c r="F25" s="5"/>
      <c r="G25" s="5"/>
      <c r="H25" s="33"/>
      <c r="I25" s="4"/>
      <c r="J25" s="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4"/>
      <c r="B26" s="45"/>
      <c r="C26" s="4"/>
      <c r="D26" s="46"/>
      <c r="E26" s="4"/>
      <c r="F26" s="46"/>
      <c r="G26" s="4"/>
      <c r="H26" s="47"/>
      <c r="I26" s="4"/>
      <c r="J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8" t="s">
        <v>33</v>
      </c>
      <c r="B27" s="2"/>
      <c r="C27" s="2"/>
      <c r="D27" s="2"/>
      <c r="E27" s="2"/>
      <c r="F27" s="2"/>
      <c r="G27" s="28"/>
      <c r="H27" s="33"/>
      <c r="I27" s="4"/>
      <c r="J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37" t="s">
        <v>1</v>
      </c>
      <c r="B28" s="16" t="s">
        <v>2</v>
      </c>
      <c r="C28" s="12" t="s">
        <v>3</v>
      </c>
      <c r="D28" s="12" t="s">
        <v>4</v>
      </c>
      <c r="E28" s="12" t="s">
        <v>5</v>
      </c>
      <c r="F28" s="12" t="s">
        <v>6</v>
      </c>
      <c r="G28" s="34" t="s">
        <v>7</v>
      </c>
      <c r="H28" s="17"/>
      <c r="I28" s="4"/>
      <c r="J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39.0" customHeight="1">
      <c r="A29" s="49">
        <f t="shared" ref="A29:A36" si="5">B29-I29</f>
        <v>0.7847222222</v>
      </c>
      <c r="B29" s="49">
        <f t="shared" ref="B29:B35" si="6">A30</f>
        <v>0.8055555556</v>
      </c>
      <c r="C29" s="12" t="s">
        <v>34</v>
      </c>
      <c r="D29" s="50" t="s">
        <v>21</v>
      </c>
      <c r="E29" s="12" t="s">
        <v>35</v>
      </c>
      <c r="F29" s="12" t="s">
        <v>36</v>
      </c>
      <c r="G29" s="18" t="s">
        <v>37</v>
      </c>
      <c r="H29" s="51"/>
      <c r="I29" s="15">
        <v>0.020833333333333332</v>
      </c>
      <c r="J29" s="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56.25" customHeight="1">
      <c r="A30" s="37">
        <f t="shared" si="5"/>
        <v>0.8055555556</v>
      </c>
      <c r="B30" s="16">
        <f t="shared" si="6"/>
        <v>0.8263888889</v>
      </c>
      <c r="C30" s="12" t="s">
        <v>34</v>
      </c>
      <c r="D30" s="12" t="s">
        <v>36</v>
      </c>
      <c r="E30" s="12" t="s">
        <v>35</v>
      </c>
      <c r="F30" s="12" t="s">
        <v>36</v>
      </c>
      <c r="G30" s="18" t="s">
        <v>37</v>
      </c>
      <c r="H30" s="51"/>
      <c r="I30" s="15">
        <v>0.020833333333333332</v>
      </c>
      <c r="J30" s="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39.0" customHeight="1">
      <c r="A31" s="37">
        <f t="shared" si="5"/>
        <v>0.8263888889</v>
      </c>
      <c r="B31" s="16">
        <f t="shared" si="6"/>
        <v>0.8472222222</v>
      </c>
      <c r="C31" s="12" t="s">
        <v>34</v>
      </c>
      <c r="D31" s="12" t="s">
        <v>38</v>
      </c>
      <c r="E31" s="12" t="s">
        <v>35</v>
      </c>
      <c r="F31" s="12" t="s">
        <v>36</v>
      </c>
      <c r="G31" s="18" t="s">
        <v>37</v>
      </c>
      <c r="H31" s="51"/>
      <c r="I31" s="15">
        <v>0.020833333333333332</v>
      </c>
      <c r="J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39.0" customHeight="1">
      <c r="A32" s="37">
        <f t="shared" si="5"/>
        <v>0.8472222222</v>
      </c>
      <c r="B32" s="16">
        <f t="shared" si="6"/>
        <v>0.8680555556</v>
      </c>
      <c r="C32" s="52" t="s">
        <v>39</v>
      </c>
      <c r="D32" s="12" t="s">
        <v>38</v>
      </c>
      <c r="E32" s="12" t="s">
        <v>40</v>
      </c>
      <c r="F32" s="13" t="s">
        <v>41</v>
      </c>
      <c r="G32" s="50" t="s">
        <v>21</v>
      </c>
      <c r="H32" s="51"/>
      <c r="I32" s="15">
        <v>0.020833333333333332</v>
      </c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53">
        <f t="shared" si="5"/>
        <v>0.8680555556</v>
      </c>
      <c r="B33" s="53">
        <f t="shared" si="6"/>
        <v>0.875</v>
      </c>
      <c r="C33" s="13" t="s">
        <v>16</v>
      </c>
      <c r="D33" s="12" t="s">
        <v>16</v>
      </c>
      <c r="E33" s="12" t="s">
        <v>16</v>
      </c>
      <c r="F33" s="13" t="s">
        <v>16</v>
      </c>
      <c r="G33" s="54" t="s">
        <v>16</v>
      </c>
      <c r="H33" s="51"/>
      <c r="I33" s="15">
        <v>0.006944444444444444</v>
      </c>
      <c r="J33" s="4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39.0" customHeight="1">
      <c r="A34" s="37">
        <f t="shared" si="5"/>
        <v>0.875</v>
      </c>
      <c r="B34" s="37">
        <f t="shared" si="6"/>
        <v>0.8958333333</v>
      </c>
      <c r="C34" s="13" t="s">
        <v>42</v>
      </c>
      <c r="D34" s="12" t="s">
        <v>43</v>
      </c>
      <c r="E34" s="12" t="s">
        <v>44</v>
      </c>
      <c r="F34" s="13" t="s">
        <v>41</v>
      </c>
      <c r="G34" s="50" t="s">
        <v>21</v>
      </c>
      <c r="H34" s="51"/>
      <c r="I34" s="15">
        <v>0.020833333333333332</v>
      </c>
      <c r="J34" s="4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39.0" customHeight="1">
      <c r="A35" s="37">
        <f t="shared" si="5"/>
        <v>0.8958333333</v>
      </c>
      <c r="B35" s="37">
        <f t="shared" si="6"/>
        <v>0.9166666667</v>
      </c>
      <c r="C35" s="12" t="s">
        <v>45</v>
      </c>
      <c r="D35" s="12" t="s">
        <v>43</v>
      </c>
      <c r="E35" s="12" t="s">
        <v>44</v>
      </c>
      <c r="F35" s="13" t="s">
        <v>41</v>
      </c>
      <c r="G35" s="50" t="s">
        <v>21</v>
      </c>
      <c r="H35" s="51"/>
      <c r="I35" s="15">
        <v>0.020833333333333332</v>
      </c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9.0" customHeight="1">
      <c r="A36" s="37">
        <f t="shared" si="5"/>
        <v>0.9166666667</v>
      </c>
      <c r="B36" s="37">
        <v>0.9375</v>
      </c>
      <c r="C36" s="12" t="s">
        <v>45</v>
      </c>
      <c r="D36" s="12" t="s">
        <v>43</v>
      </c>
      <c r="E36" s="12" t="s">
        <v>44</v>
      </c>
      <c r="F36" s="13" t="s">
        <v>41</v>
      </c>
      <c r="G36" s="50" t="s">
        <v>21</v>
      </c>
      <c r="H36" s="51"/>
      <c r="I36" s="15">
        <v>0.020833333333333332</v>
      </c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5"/>
      <c r="B37" s="5"/>
      <c r="C37" s="22"/>
      <c r="D37" s="22"/>
      <c r="E37" s="22"/>
      <c r="F37" s="22"/>
      <c r="G37" s="22"/>
      <c r="H37" s="14"/>
      <c r="I37" s="4"/>
      <c r="J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5"/>
      <c r="B38" s="5"/>
      <c r="C38" s="22"/>
      <c r="E38" s="22"/>
      <c r="F38" s="22"/>
      <c r="G38" s="22"/>
      <c r="H38" s="14"/>
      <c r="I38" s="4"/>
      <c r="J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5"/>
      <c r="B39" s="5"/>
      <c r="E39" s="22"/>
      <c r="F39" s="22"/>
      <c r="G39" s="22"/>
      <c r="H39" s="14"/>
      <c r="I39" s="4"/>
      <c r="J39" s="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5"/>
      <c r="B40" s="5"/>
      <c r="E40" s="22"/>
      <c r="F40" s="22"/>
      <c r="G40" s="22"/>
      <c r="H40" s="14"/>
      <c r="I40" s="4"/>
      <c r="J40" s="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5"/>
      <c r="B41" s="5"/>
      <c r="E41" s="22"/>
      <c r="F41" s="22"/>
      <c r="G41" s="22"/>
      <c r="H41" s="14"/>
      <c r="I41" s="4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5"/>
      <c r="B42" s="5"/>
      <c r="C42" s="22"/>
      <c r="D42" s="22"/>
      <c r="E42" s="22"/>
      <c r="F42" s="22"/>
      <c r="G42" s="22"/>
      <c r="H42" s="14"/>
      <c r="I42" s="4"/>
      <c r="J42" s="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5"/>
      <c r="B43" s="5"/>
      <c r="C43" s="22"/>
      <c r="D43" s="22"/>
      <c r="E43" s="22"/>
      <c r="F43" s="22"/>
      <c r="G43" s="22"/>
      <c r="H43" s="14"/>
      <c r="I43" s="4"/>
      <c r="J43" s="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5"/>
      <c r="B44" s="5"/>
      <c r="C44" s="22"/>
      <c r="D44" s="22"/>
      <c r="E44" s="22"/>
      <c r="F44" s="22"/>
      <c r="G44" s="22"/>
      <c r="H44" s="14"/>
      <c r="I44" s="4"/>
      <c r="J44" s="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5"/>
      <c r="B45" s="5"/>
      <c r="C45" s="22"/>
      <c r="D45" s="22"/>
      <c r="E45" s="22"/>
      <c r="F45" s="22"/>
      <c r="G45" s="22"/>
      <c r="H45" s="14"/>
      <c r="I45" s="4"/>
      <c r="J45" s="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5"/>
      <c r="B46" s="5"/>
      <c r="C46" s="22"/>
      <c r="D46" s="22"/>
      <c r="E46" s="22"/>
      <c r="F46" s="22"/>
      <c r="G46" s="22"/>
      <c r="H46" s="14"/>
      <c r="I46" s="4"/>
      <c r="J46" s="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5"/>
      <c r="B47" s="5"/>
      <c r="C47" s="22"/>
      <c r="D47" s="22"/>
      <c r="E47" s="22"/>
      <c r="F47" s="22"/>
      <c r="G47" s="22"/>
      <c r="H47" s="14"/>
      <c r="I47" s="4"/>
      <c r="J47" s="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5"/>
      <c r="B48" s="5"/>
      <c r="C48" s="22"/>
      <c r="D48" s="22"/>
      <c r="E48" s="22"/>
      <c r="F48" s="22"/>
      <c r="G48" s="22"/>
      <c r="H48" s="14"/>
      <c r="I48" s="4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5"/>
      <c r="B49" s="5"/>
      <c r="C49" s="22"/>
      <c r="D49" s="22"/>
      <c r="E49" s="22"/>
      <c r="F49" s="22"/>
      <c r="G49" s="22"/>
      <c r="H49" s="14"/>
      <c r="I49" s="4"/>
      <c r="J49" s="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5"/>
      <c r="B50" s="5"/>
      <c r="C50" s="22"/>
      <c r="D50" s="22"/>
      <c r="E50" s="22"/>
      <c r="F50" s="22"/>
      <c r="G50" s="22"/>
      <c r="H50" s="14"/>
      <c r="I50" s="4"/>
      <c r="J50" s="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5"/>
      <c r="B51" s="5"/>
      <c r="C51" s="22"/>
      <c r="D51" s="22"/>
      <c r="E51" s="22"/>
      <c r="F51" s="22"/>
      <c r="G51" s="22"/>
      <c r="H51" s="14"/>
      <c r="I51" s="4"/>
      <c r="J51" s="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5"/>
      <c r="B52" s="5"/>
      <c r="C52" s="22"/>
      <c r="D52" s="22"/>
      <c r="E52" s="22"/>
      <c r="F52" s="22"/>
      <c r="G52" s="22"/>
      <c r="H52" s="14"/>
      <c r="I52" s="4"/>
      <c r="J52" s="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5"/>
      <c r="B53" s="5"/>
      <c r="C53" s="22"/>
      <c r="D53" s="22"/>
      <c r="E53" s="22"/>
      <c r="F53" s="22"/>
      <c r="G53" s="22"/>
      <c r="H53" s="14"/>
      <c r="I53" s="4"/>
      <c r="J53" s="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5"/>
      <c r="B54" s="5"/>
      <c r="C54" s="22"/>
      <c r="D54" s="22"/>
      <c r="E54" s="22"/>
      <c r="F54" s="22"/>
      <c r="G54" s="22"/>
      <c r="H54" s="14"/>
      <c r="I54" s="4"/>
      <c r="J54" s="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5"/>
      <c r="B55" s="5"/>
      <c r="C55" s="22"/>
      <c r="D55" s="22"/>
      <c r="E55" s="22"/>
      <c r="F55" s="22"/>
      <c r="G55" s="22"/>
      <c r="H55" s="14"/>
      <c r="I55" s="4"/>
      <c r="J55" s="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5"/>
      <c r="B56" s="5"/>
      <c r="C56" s="22"/>
      <c r="D56" s="22"/>
      <c r="E56" s="22"/>
      <c r="F56" s="22"/>
      <c r="G56" s="22"/>
      <c r="H56" s="14"/>
      <c r="I56" s="4"/>
      <c r="J56" s="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5"/>
      <c r="B57" s="5"/>
      <c r="C57" s="22"/>
      <c r="D57" s="22"/>
      <c r="E57" s="22"/>
      <c r="F57" s="22"/>
      <c r="G57" s="22"/>
      <c r="H57" s="14"/>
      <c r="I57" s="4"/>
      <c r="J57" s="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5"/>
      <c r="B58" s="5"/>
      <c r="C58" s="22"/>
      <c r="D58" s="22"/>
      <c r="E58" s="22"/>
      <c r="F58" s="22"/>
      <c r="G58" s="22"/>
      <c r="H58" s="14"/>
      <c r="I58" s="4"/>
      <c r="J58" s="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"/>
      <c r="B59" s="5"/>
      <c r="C59" s="22"/>
      <c r="D59" s="22"/>
      <c r="E59" s="22"/>
      <c r="F59" s="22"/>
      <c r="G59" s="22"/>
      <c r="H59" s="14"/>
      <c r="I59" s="4"/>
      <c r="J59" s="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5"/>
      <c r="B60" s="5"/>
      <c r="C60" s="22"/>
      <c r="D60" s="22"/>
      <c r="E60" s="22"/>
      <c r="F60" s="22"/>
      <c r="G60" s="22"/>
      <c r="H60" s="14"/>
      <c r="I60" s="4"/>
      <c r="J60" s="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5"/>
      <c r="B61" s="5"/>
      <c r="C61" s="22"/>
      <c r="D61" s="22"/>
      <c r="E61" s="22"/>
      <c r="F61" s="22"/>
      <c r="G61" s="22"/>
      <c r="H61" s="14"/>
      <c r="I61" s="4"/>
      <c r="J61" s="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5"/>
      <c r="B62" s="5"/>
      <c r="C62" s="22"/>
      <c r="D62" s="22"/>
      <c r="E62" s="22"/>
      <c r="F62" s="22"/>
      <c r="G62" s="22"/>
      <c r="H62" s="14"/>
      <c r="I62" s="4"/>
      <c r="J62" s="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5"/>
      <c r="B63" s="5"/>
      <c r="C63" s="22"/>
      <c r="D63" s="22"/>
      <c r="E63" s="22"/>
      <c r="F63" s="22"/>
      <c r="G63" s="22"/>
      <c r="H63" s="14"/>
      <c r="I63" s="4"/>
      <c r="J63" s="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5"/>
      <c r="B64" s="5"/>
      <c r="C64" s="22"/>
      <c r="D64" s="22"/>
      <c r="E64" s="22"/>
      <c r="F64" s="22"/>
      <c r="G64" s="22"/>
      <c r="H64" s="14"/>
      <c r="I64" s="4"/>
      <c r="J64" s="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5"/>
      <c r="B65" s="5"/>
      <c r="C65" s="22"/>
      <c r="D65" s="22"/>
      <c r="E65" s="22"/>
      <c r="F65" s="22"/>
      <c r="G65" s="22"/>
      <c r="H65" s="14"/>
      <c r="I65" s="4"/>
      <c r="J65" s="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5"/>
      <c r="B66" s="5"/>
      <c r="C66" s="22"/>
      <c r="D66" s="22"/>
      <c r="E66" s="22"/>
      <c r="F66" s="22"/>
      <c r="G66" s="22"/>
      <c r="H66" s="14"/>
      <c r="I66" s="4"/>
      <c r="J66" s="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5"/>
      <c r="B67" s="5"/>
      <c r="C67" s="22"/>
      <c r="D67" s="22"/>
      <c r="E67" s="22"/>
      <c r="F67" s="22"/>
      <c r="G67" s="22"/>
      <c r="H67" s="14"/>
      <c r="I67" s="4"/>
      <c r="J67" s="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5"/>
      <c r="B68" s="5"/>
      <c r="C68" s="22"/>
      <c r="D68" s="22"/>
      <c r="E68" s="22"/>
      <c r="F68" s="22"/>
      <c r="G68" s="22"/>
      <c r="H68" s="14"/>
      <c r="I68" s="4"/>
      <c r="J68" s="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5"/>
      <c r="B69" s="5"/>
      <c r="C69" s="22"/>
      <c r="D69" s="22"/>
      <c r="E69" s="22"/>
      <c r="F69" s="22"/>
      <c r="G69" s="22"/>
      <c r="H69" s="14"/>
      <c r="I69" s="4"/>
      <c r="J69" s="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5"/>
      <c r="B70" s="5"/>
      <c r="C70" s="22"/>
      <c r="D70" s="22"/>
      <c r="E70" s="22"/>
      <c r="F70" s="22"/>
      <c r="G70" s="22"/>
      <c r="H70" s="14"/>
      <c r="I70" s="4"/>
      <c r="J70" s="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5"/>
      <c r="B71" s="5"/>
      <c r="C71" s="22"/>
      <c r="D71" s="22"/>
      <c r="E71" s="22"/>
      <c r="F71" s="22"/>
      <c r="G71" s="22"/>
      <c r="H71" s="14"/>
      <c r="I71" s="4"/>
      <c r="J71" s="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5"/>
      <c r="B72" s="5"/>
      <c r="C72" s="22"/>
      <c r="D72" s="22"/>
      <c r="E72" s="22"/>
      <c r="F72" s="22"/>
      <c r="G72" s="22"/>
      <c r="H72" s="14"/>
      <c r="I72" s="4"/>
      <c r="J72" s="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5"/>
      <c r="B73" s="5"/>
      <c r="C73" s="22"/>
      <c r="D73" s="22"/>
      <c r="E73" s="22"/>
      <c r="F73" s="22"/>
      <c r="G73" s="22"/>
      <c r="H73" s="14"/>
      <c r="I73" s="4"/>
      <c r="J73" s="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5"/>
      <c r="B74" s="5"/>
      <c r="C74" s="22"/>
      <c r="D74" s="22"/>
      <c r="E74" s="22"/>
      <c r="F74" s="22"/>
      <c r="G74" s="22"/>
      <c r="H74" s="14"/>
      <c r="I74" s="4"/>
      <c r="J74" s="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5"/>
      <c r="B75" s="5"/>
      <c r="C75" s="22"/>
      <c r="D75" s="22"/>
      <c r="E75" s="22"/>
      <c r="F75" s="22"/>
      <c r="G75" s="22"/>
      <c r="H75" s="14"/>
      <c r="I75" s="4"/>
      <c r="J75" s="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5"/>
      <c r="B76" s="5"/>
      <c r="C76" s="22"/>
      <c r="D76" s="22"/>
      <c r="E76" s="22"/>
      <c r="F76" s="22"/>
      <c r="G76" s="22"/>
      <c r="H76" s="14"/>
      <c r="I76" s="4"/>
      <c r="J76" s="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5"/>
      <c r="B77" s="5"/>
      <c r="C77" s="22"/>
      <c r="D77" s="22"/>
      <c r="E77" s="22"/>
      <c r="F77" s="22"/>
      <c r="G77" s="22"/>
      <c r="H77" s="14"/>
      <c r="I77" s="4"/>
      <c r="J77" s="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5"/>
      <c r="B78" s="5"/>
      <c r="C78" s="22"/>
      <c r="D78" s="22"/>
      <c r="E78" s="22"/>
      <c r="F78" s="22"/>
      <c r="G78" s="22"/>
      <c r="H78" s="14"/>
      <c r="I78" s="4"/>
      <c r="J78" s="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5"/>
      <c r="B79" s="5"/>
      <c r="C79" s="22"/>
      <c r="D79" s="22"/>
      <c r="E79" s="22"/>
      <c r="F79" s="22"/>
      <c r="G79" s="22"/>
      <c r="H79" s="14"/>
      <c r="I79" s="4"/>
      <c r="J79" s="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5"/>
      <c r="B80" s="5"/>
      <c r="C80" s="22"/>
      <c r="D80" s="22"/>
      <c r="E80" s="22"/>
      <c r="F80" s="22"/>
      <c r="G80" s="22"/>
      <c r="H80" s="14"/>
      <c r="I80" s="4"/>
      <c r="J80" s="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5"/>
      <c r="B81" s="5"/>
      <c r="C81" s="22"/>
      <c r="D81" s="22"/>
      <c r="E81" s="22"/>
      <c r="F81" s="22"/>
      <c r="G81" s="22"/>
      <c r="H81" s="14"/>
      <c r="I81" s="4"/>
      <c r="J81" s="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5"/>
      <c r="B82" s="5"/>
      <c r="C82" s="22"/>
      <c r="D82" s="22"/>
      <c r="E82" s="22"/>
      <c r="F82" s="22"/>
      <c r="G82" s="22"/>
      <c r="H82" s="14"/>
      <c r="I82" s="4"/>
      <c r="J82" s="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5"/>
      <c r="B83" s="5"/>
      <c r="C83" s="22"/>
      <c r="D83" s="22"/>
      <c r="E83" s="22"/>
      <c r="F83" s="22"/>
      <c r="G83" s="22"/>
      <c r="H83" s="14"/>
      <c r="I83" s="4"/>
      <c r="J83" s="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5"/>
      <c r="B84" s="5"/>
      <c r="C84" s="22"/>
      <c r="D84" s="22"/>
      <c r="E84" s="22"/>
      <c r="F84" s="22"/>
      <c r="G84" s="22"/>
      <c r="H84" s="14"/>
      <c r="I84" s="4"/>
      <c r="J84" s="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5"/>
      <c r="B85" s="5"/>
      <c r="C85" s="22"/>
      <c r="D85" s="22"/>
      <c r="E85" s="22"/>
      <c r="F85" s="22"/>
      <c r="G85" s="22"/>
      <c r="H85" s="14"/>
      <c r="I85" s="4"/>
      <c r="J85" s="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5"/>
      <c r="B86" s="5"/>
      <c r="C86" s="22"/>
      <c r="D86" s="22"/>
      <c r="E86" s="22"/>
      <c r="F86" s="22"/>
      <c r="G86" s="22"/>
      <c r="H86" s="14"/>
      <c r="I86" s="4"/>
      <c r="J86" s="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5"/>
      <c r="B87" s="5"/>
      <c r="C87" s="22"/>
      <c r="D87" s="22"/>
      <c r="E87" s="22"/>
      <c r="F87" s="22"/>
      <c r="G87" s="22"/>
      <c r="H87" s="14"/>
      <c r="I87" s="4"/>
      <c r="J87" s="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5"/>
      <c r="B88" s="5"/>
      <c r="C88" s="22"/>
      <c r="D88" s="22"/>
      <c r="E88" s="22"/>
      <c r="F88" s="22"/>
      <c r="G88" s="22"/>
      <c r="H88" s="14"/>
      <c r="I88" s="4"/>
      <c r="J88" s="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5"/>
      <c r="B89" s="5"/>
      <c r="C89" s="22"/>
      <c r="D89" s="22"/>
      <c r="E89" s="22"/>
      <c r="F89" s="22"/>
      <c r="G89" s="22"/>
      <c r="H89" s="14"/>
      <c r="I89" s="4"/>
      <c r="J89" s="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5"/>
      <c r="B90" s="5"/>
      <c r="C90" s="22"/>
      <c r="D90" s="22"/>
      <c r="E90" s="22"/>
      <c r="F90" s="22"/>
      <c r="G90" s="22"/>
      <c r="H90" s="14"/>
      <c r="I90" s="4"/>
      <c r="J90" s="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5"/>
      <c r="B91" s="5"/>
      <c r="C91" s="22"/>
      <c r="D91" s="22"/>
      <c r="E91" s="22"/>
      <c r="F91" s="22"/>
      <c r="G91" s="22"/>
      <c r="H91" s="14"/>
      <c r="I91" s="4"/>
      <c r="J91" s="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5"/>
      <c r="B92" s="5"/>
      <c r="C92" s="22"/>
      <c r="D92" s="22"/>
      <c r="E92" s="22"/>
      <c r="F92" s="22"/>
      <c r="G92" s="22"/>
      <c r="H92" s="14"/>
      <c r="I92" s="4"/>
      <c r="J92" s="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5"/>
      <c r="B93" s="5"/>
      <c r="C93" s="22"/>
      <c r="D93" s="22"/>
      <c r="E93" s="22"/>
      <c r="F93" s="22"/>
      <c r="G93" s="22"/>
      <c r="H93" s="14"/>
      <c r="I93" s="4"/>
      <c r="J93" s="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5"/>
      <c r="B94" s="5"/>
      <c r="C94" s="22"/>
      <c r="D94" s="22"/>
      <c r="E94" s="22"/>
      <c r="F94" s="22"/>
      <c r="G94" s="22"/>
      <c r="H94" s="14"/>
      <c r="I94" s="4"/>
      <c r="J94" s="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5"/>
      <c r="B95" s="5"/>
      <c r="C95" s="22"/>
      <c r="D95" s="22"/>
      <c r="E95" s="22"/>
      <c r="F95" s="22"/>
      <c r="G95" s="22"/>
      <c r="H95" s="14"/>
      <c r="I95" s="4"/>
      <c r="J95" s="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5"/>
      <c r="B96" s="5"/>
      <c r="C96" s="22"/>
      <c r="D96" s="22"/>
      <c r="E96" s="22"/>
      <c r="F96" s="22"/>
      <c r="G96" s="22"/>
      <c r="H96" s="14"/>
      <c r="I96" s="4"/>
      <c r="J96" s="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5"/>
      <c r="B97" s="5"/>
      <c r="C97" s="22"/>
      <c r="D97" s="22"/>
      <c r="E97" s="22"/>
      <c r="F97" s="22"/>
      <c r="G97" s="22"/>
      <c r="H97" s="14"/>
      <c r="I97" s="4"/>
      <c r="J97" s="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5"/>
      <c r="B98" s="5"/>
      <c r="C98" s="22"/>
      <c r="D98" s="22"/>
      <c r="E98" s="22"/>
      <c r="F98" s="22"/>
      <c r="G98" s="22"/>
      <c r="H98" s="14"/>
      <c r="I98" s="4"/>
      <c r="J98" s="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5"/>
      <c r="B99" s="5"/>
      <c r="C99" s="22"/>
      <c r="D99" s="22"/>
      <c r="E99" s="22"/>
      <c r="F99" s="22"/>
      <c r="G99" s="22"/>
      <c r="H99" s="14"/>
      <c r="I99" s="4"/>
      <c r="J99" s="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5"/>
      <c r="B100" s="5"/>
      <c r="C100" s="22"/>
      <c r="D100" s="22"/>
      <c r="E100" s="22"/>
      <c r="F100" s="22"/>
      <c r="G100" s="22"/>
      <c r="H100" s="14"/>
      <c r="I100" s="4"/>
      <c r="J100" s="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5"/>
      <c r="B101" s="5"/>
      <c r="C101" s="22"/>
      <c r="D101" s="22"/>
      <c r="E101" s="22"/>
      <c r="F101" s="22"/>
      <c r="G101" s="22"/>
      <c r="H101" s="14"/>
      <c r="I101" s="4"/>
      <c r="J101" s="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5"/>
      <c r="B102" s="5"/>
      <c r="C102" s="22"/>
      <c r="D102" s="22"/>
      <c r="E102" s="22"/>
      <c r="F102" s="22"/>
      <c r="G102" s="22"/>
      <c r="H102" s="14"/>
      <c r="I102" s="4"/>
      <c r="J102" s="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5"/>
      <c r="B103" s="5"/>
      <c r="C103" s="22"/>
      <c r="D103" s="22"/>
      <c r="E103" s="22"/>
      <c r="F103" s="22"/>
      <c r="G103" s="22"/>
      <c r="H103" s="14"/>
      <c r="I103" s="4"/>
      <c r="J103" s="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5"/>
      <c r="B104" s="5"/>
      <c r="C104" s="22"/>
      <c r="D104" s="22"/>
      <c r="E104" s="22"/>
      <c r="F104" s="22"/>
      <c r="G104" s="22"/>
      <c r="H104" s="14"/>
      <c r="I104" s="4"/>
      <c r="J104" s="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5"/>
      <c r="B105" s="5"/>
      <c r="C105" s="22"/>
      <c r="D105" s="22"/>
      <c r="E105" s="22"/>
      <c r="F105" s="22"/>
      <c r="G105" s="22"/>
      <c r="H105" s="14"/>
      <c r="I105" s="4"/>
      <c r="J105" s="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5"/>
      <c r="B106" s="5"/>
      <c r="C106" s="22"/>
      <c r="D106" s="22"/>
      <c r="E106" s="22"/>
      <c r="F106" s="22"/>
      <c r="G106" s="22"/>
      <c r="H106" s="14"/>
      <c r="I106" s="4"/>
      <c r="J106" s="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5"/>
      <c r="B107" s="5"/>
      <c r="C107" s="22"/>
      <c r="D107" s="22"/>
      <c r="E107" s="22"/>
      <c r="F107" s="22"/>
      <c r="G107" s="22"/>
      <c r="H107" s="14"/>
      <c r="I107" s="4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5"/>
      <c r="B108" s="5"/>
      <c r="C108" s="22"/>
      <c r="D108" s="22"/>
      <c r="E108" s="22"/>
      <c r="F108" s="22"/>
      <c r="G108" s="22"/>
      <c r="H108" s="14"/>
      <c r="I108" s="4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5"/>
      <c r="B109" s="5"/>
      <c r="C109" s="22"/>
      <c r="D109" s="22"/>
      <c r="E109" s="22"/>
      <c r="F109" s="22"/>
      <c r="G109" s="22"/>
      <c r="H109" s="14"/>
      <c r="I109" s="4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5"/>
      <c r="B110" s="5"/>
      <c r="C110" s="22"/>
      <c r="D110" s="22"/>
      <c r="E110" s="22"/>
      <c r="F110" s="22"/>
      <c r="G110" s="22"/>
      <c r="H110" s="14"/>
      <c r="I110" s="4"/>
      <c r="J110" s="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5"/>
      <c r="B111" s="5"/>
      <c r="C111" s="22"/>
      <c r="D111" s="22"/>
      <c r="E111" s="22"/>
      <c r="F111" s="22"/>
      <c r="G111" s="22"/>
      <c r="H111" s="14"/>
      <c r="I111" s="4"/>
      <c r="J111" s="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5"/>
      <c r="B112" s="5"/>
      <c r="C112" s="22"/>
      <c r="D112" s="22"/>
      <c r="E112" s="22"/>
      <c r="F112" s="22"/>
      <c r="G112" s="22"/>
      <c r="H112" s="14"/>
      <c r="I112" s="4"/>
      <c r="J112" s="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5"/>
      <c r="B113" s="5"/>
      <c r="C113" s="22"/>
      <c r="D113" s="22"/>
      <c r="E113" s="22"/>
      <c r="F113" s="22"/>
      <c r="G113" s="22"/>
      <c r="H113" s="14"/>
      <c r="I113" s="4"/>
      <c r="J113" s="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5"/>
      <c r="B114" s="5"/>
      <c r="C114" s="22"/>
      <c r="D114" s="22"/>
      <c r="E114" s="22"/>
      <c r="F114" s="22"/>
      <c r="G114" s="22"/>
      <c r="H114" s="14"/>
      <c r="I114" s="4"/>
      <c r="J114" s="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5"/>
      <c r="B115" s="5"/>
      <c r="C115" s="22"/>
      <c r="D115" s="22"/>
      <c r="E115" s="22"/>
      <c r="F115" s="22"/>
      <c r="G115" s="22"/>
      <c r="H115" s="14"/>
      <c r="I115" s="4"/>
      <c r="J115" s="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5"/>
      <c r="B116" s="5"/>
      <c r="C116" s="22"/>
      <c r="D116" s="22"/>
      <c r="E116" s="22"/>
      <c r="F116" s="22"/>
      <c r="G116" s="22"/>
      <c r="H116" s="14"/>
      <c r="I116" s="4"/>
      <c r="J116" s="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5"/>
      <c r="B117" s="5"/>
      <c r="C117" s="22"/>
      <c r="D117" s="22"/>
      <c r="E117" s="22"/>
      <c r="F117" s="22"/>
      <c r="G117" s="22"/>
      <c r="H117" s="14"/>
      <c r="I117" s="4"/>
      <c r="J117" s="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5"/>
      <c r="B118" s="5"/>
      <c r="C118" s="22"/>
      <c r="D118" s="22"/>
      <c r="E118" s="22"/>
      <c r="F118" s="22"/>
      <c r="G118" s="22"/>
      <c r="H118" s="14"/>
      <c r="I118" s="4"/>
      <c r="J118" s="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5"/>
      <c r="B119" s="5"/>
      <c r="C119" s="22"/>
      <c r="D119" s="22"/>
      <c r="E119" s="22"/>
      <c r="F119" s="22"/>
      <c r="G119" s="22"/>
      <c r="H119" s="14"/>
      <c r="I119" s="4"/>
      <c r="J119" s="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5"/>
      <c r="B120" s="5"/>
      <c r="C120" s="22"/>
      <c r="D120" s="22"/>
      <c r="E120" s="22"/>
      <c r="F120" s="22"/>
      <c r="G120" s="22"/>
      <c r="H120" s="14"/>
      <c r="I120" s="4"/>
      <c r="J120" s="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5"/>
      <c r="B121" s="5"/>
      <c r="C121" s="22"/>
      <c r="D121" s="22"/>
      <c r="E121" s="22"/>
      <c r="F121" s="22"/>
      <c r="G121" s="22"/>
      <c r="H121" s="14"/>
      <c r="I121" s="4"/>
      <c r="J121" s="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5"/>
      <c r="B122" s="5"/>
      <c r="C122" s="22"/>
      <c r="D122" s="22"/>
      <c r="E122" s="22"/>
      <c r="F122" s="22"/>
      <c r="G122" s="22"/>
      <c r="H122" s="14"/>
      <c r="I122" s="4"/>
      <c r="J122" s="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5"/>
      <c r="B123" s="5"/>
      <c r="C123" s="22"/>
      <c r="D123" s="22"/>
      <c r="E123" s="22"/>
      <c r="F123" s="22"/>
      <c r="G123" s="22"/>
      <c r="H123" s="14"/>
      <c r="I123" s="4"/>
      <c r="J123" s="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5"/>
      <c r="B124" s="5"/>
      <c r="C124" s="22"/>
      <c r="D124" s="22"/>
      <c r="E124" s="22"/>
      <c r="F124" s="22"/>
      <c r="G124" s="22"/>
      <c r="H124" s="14"/>
      <c r="I124" s="4"/>
      <c r="J124" s="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5"/>
      <c r="B125" s="5"/>
      <c r="C125" s="22"/>
      <c r="D125" s="22"/>
      <c r="E125" s="22"/>
      <c r="F125" s="22"/>
      <c r="G125" s="22"/>
      <c r="H125" s="14"/>
      <c r="I125" s="4"/>
      <c r="J125" s="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5"/>
      <c r="B126" s="5"/>
      <c r="C126" s="22"/>
      <c r="D126" s="22"/>
      <c r="E126" s="22"/>
      <c r="F126" s="22"/>
      <c r="G126" s="22"/>
      <c r="H126" s="14"/>
      <c r="I126" s="4"/>
      <c r="J126" s="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5"/>
      <c r="B127" s="5"/>
      <c r="C127" s="22"/>
      <c r="D127" s="22"/>
      <c r="E127" s="22"/>
      <c r="F127" s="22"/>
      <c r="G127" s="22"/>
      <c r="H127" s="14"/>
      <c r="I127" s="4"/>
      <c r="J127" s="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5"/>
      <c r="B128" s="5"/>
      <c r="C128" s="22"/>
      <c r="D128" s="22"/>
      <c r="E128" s="22"/>
      <c r="F128" s="22"/>
      <c r="G128" s="22"/>
      <c r="H128" s="14"/>
      <c r="I128" s="4"/>
      <c r="J128" s="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5"/>
      <c r="B129" s="5"/>
      <c r="C129" s="22"/>
      <c r="D129" s="22"/>
      <c r="E129" s="22"/>
      <c r="F129" s="22"/>
      <c r="G129" s="22"/>
      <c r="H129" s="14"/>
      <c r="I129" s="4"/>
      <c r="J129" s="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5"/>
      <c r="B130" s="5"/>
      <c r="C130" s="22"/>
      <c r="D130" s="22"/>
      <c r="E130" s="22"/>
      <c r="F130" s="22"/>
      <c r="G130" s="22"/>
      <c r="H130" s="14"/>
      <c r="I130" s="4"/>
      <c r="J130" s="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5"/>
      <c r="B131" s="5"/>
      <c r="C131" s="22"/>
      <c r="D131" s="22"/>
      <c r="E131" s="22"/>
      <c r="F131" s="22"/>
      <c r="G131" s="22"/>
      <c r="H131" s="14"/>
      <c r="I131" s="4"/>
      <c r="J131" s="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5"/>
      <c r="B132" s="5"/>
      <c r="C132" s="22"/>
      <c r="D132" s="22"/>
      <c r="E132" s="22"/>
      <c r="F132" s="22"/>
      <c r="G132" s="22"/>
      <c r="H132" s="14"/>
      <c r="I132" s="4"/>
      <c r="J132" s="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5"/>
      <c r="B133" s="5"/>
      <c r="C133" s="22"/>
      <c r="D133" s="22"/>
      <c r="E133" s="22"/>
      <c r="F133" s="22"/>
      <c r="G133" s="22"/>
      <c r="H133" s="14"/>
      <c r="I133" s="4"/>
      <c r="J133" s="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5"/>
      <c r="B134" s="5"/>
      <c r="C134" s="22"/>
      <c r="D134" s="22"/>
      <c r="E134" s="22"/>
      <c r="F134" s="22"/>
      <c r="G134" s="22"/>
      <c r="H134" s="14"/>
      <c r="I134" s="4"/>
      <c r="J134" s="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5"/>
      <c r="B135" s="5"/>
      <c r="C135" s="22"/>
      <c r="D135" s="22"/>
      <c r="E135" s="22"/>
      <c r="F135" s="22"/>
      <c r="G135" s="22"/>
      <c r="H135" s="14"/>
      <c r="I135" s="4"/>
      <c r="J135" s="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5"/>
      <c r="B136" s="5"/>
      <c r="C136" s="22"/>
      <c r="D136" s="22"/>
      <c r="E136" s="22"/>
      <c r="F136" s="22"/>
      <c r="G136" s="22"/>
      <c r="H136" s="14"/>
      <c r="I136" s="4"/>
      <c r="J136" s="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5"/>
      <c r="B137" s="5"/>
      <c r="C137" s="22"/>
      <c r="D137" s="22"/>
      <c r="E137" s="22"/>
      <c r="F137" s="22"/>
      <c r="G137" s="22"/>
      <c r="H137" s="14"/>
      <c r="I137" s="4"/>
      <c r="J137" s="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5"/>
      <c r="B138" s="5"/>
      <c r="C138" s="22"/>
      <c r="D138" s="22"/>
      <c r="E138" s="22"/>
      <c r="F138" s="22"/>
      <c r="G138" s="22"/>
      <c r="H138" s="14"/>
      <c r="I138" s="4"/>
      <c r="J138" s="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5"/>
      <c r="B139" s="5"/>
      <c r="C139" s="22"/>
      <c r="D139" s="22"/>
      <c r="E139" s="22"/>
      <c r="F139" s="22"/>
      <c r="G139" s="22"/>
      <c r="H139" s="14"/>
      <c r="I139" s="4"/>
      <c r="J139" s="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5"/>
      <c r="B140" s="5"/>
      <c r="C140" s="22"/>
      <c r="D140" s="22"/>
      <c r="E140" s="22"/>
      <c r="F140" s="22"/>
      <c r="G140" s="22"/>
      <c r="H140" s="14"/>
      <c r="I140" s="4"/>
      <c r="J140" s="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5"/>
      <c r="B141" s="5"/>
      <c r="C141" s="22"/>
      <c r="D141" s="22"/>
      <c r="E141" s="22"/>
      <c r="F141" s="22"/>
      <c r="G141" s="22"/>
      <c r="H141" s="14"/>
      <c r="I141" s="4"/>
      <c r="J141" s="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5"/>
      <c r="B142" s="5"/>
      <c r="C142" s="22"/>
      <c r="D142" s="22"/>
      <c r="E142" s="22"/>
      <c r="F142" s="22"/>
      <c r="G142" s="22"/>
      <c r="H142" s="14"/>
      <c r="I142" s="4"/>
      <c r="J142" s="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5"/>
      <c r="B143" s="5"/>
      <c r="C143" s="22"/>
      <c r="D143" s="22"/>
      <c r="E143" s="22"/>
      <c r="F143" s="22"/>
      <c r="G143" s="22"/>
      <c r="H143" s="14"/>
      <c r="I143" s="4"/>
      <c r="J143" s="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5"/>
      <c r="B144" s="5"/>
      <c r="C144" s="22"/>
      <c r="D144" s="22"/>
      <c r="E144" s="22"/>
      <c r="F144" s="22"/>
      <c r="G144" s="22"/>
      <c r="H144" s="14"/>
      <c r="I144" s="4"/>
      <c r="J144" s="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5"/>
      <c r="B145" s="5"/>
      <c r="C145" s="22"/>
      <c r="D145" s="22"/>
      <c r="E145" s="22"/>
      <c r="F145" s="22"/>
      <c r="G145" s="22"/>
      <c r="H145" s="14"/>
      <c r="I145" s="4"/>
      <c r="J145" s="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5"/>
      <c r="B146" s="5"/>
      <c r="C146" s="22"/>
      <c r="D146" s="22"/>
      <c r="E146" s="22"/>
      <c r="F146" s="22"/>
      <c r="G146" s="22"/>
      <c r="H146" s="14"/>
      <c r="I146" s="4"/>
      <c r="J146" s="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5"/>
      <c r="B147" s="5"/>
      <c r="C147" s="22"/>
      <c r="D147" s="22"/>
      <c r="E147" s="22"/>
      <c r="F147" s="22"/>
      <c r="G147" s="22"/>
      <c r="H147" s="14"/>
      <c r="I147" s="4"/>
      <c r="J147" s="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5"/>
      <c r="B148" s="5"/>
      <c r="C148" s="22"/>
      <c r="D148" s="22"/>
      <c r="E148" s="22"/>
      <c r="F148" s="22"/>
      <c r="G148" s="22"/>
      <c r="H148" s="14"/>
      <c r="I148" s="4"/>
      <c r="J148" s="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5"/>
      <c r="B149" s="5"/>
      <c r="C149" s="22"/>
      <c r="D149" s="22"/>
      <c r="E149" s="22"/>
      <c r="F149" s="22"/>
      <c r="G149" s="22"/>
      <c r="H149" s="14"/>
      <c r="I149" s="4"/>
      <c r="J149" s="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5"/>
      <c r="B150" s="5"/>
      <c r="C150" s="22"/>
      <c r="D150" s="22"/>
      <c r="E150" s="22"/>
      <c r="F150" s="22"/>
      <c r="G150" s="22"/>
      <c r="H150" s="14"/>
      <c r="I150" s="4"/>
      <c r="J150" s="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5"/>
      <c r="B151" s="5"/>
      <c r="C151" s="22"/>
      <c r="D151" s="22"/>
      <c r="E151" s="22"/>
      <c r="F151" s="22"/>
      <c r="G151" s="22"/>
      <c r="H151" s="14"/>
      <c r="I151" s="4"/>
      <c r="J151" s="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5"/>
      <c r="B152" s="5"/>
      <c r="C152" s="22"/>
      <c r="D152" s="22"/>
      <c r="E152" s="22"/>
      <c r="F152" s="22"/>
      <c r="G152" s="22"/>
      <c r="H152" s="14"/>
      <c r="I152" s="4"/>
      <c r="J152" s="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5"/>
      <c r="B153" s="5"/>
      <c r="C153" s="22"/>
      <c r="D153" s="22"/>
      <c r="E153" s="22"/>
      <c r="F153" s="22"/>
      <c r="G153" s="22"/>
      <c r="H153" s="14"/>
      <c r="I153" s="4"/>
      <c r="J153" s="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5"/>
      <c r="B154" s="5"/>
      <c r="C154" s="22"/>
      <c r="D154" s="22"/>
      <c r="E154" s="22"/>
      <c r="F154" s="22"/>
      <c r="G154" s="22"/>
      <c r="H154" s="14"/>
      <c r="I154" s="4"/>
      <c r="J154" s="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5"/>
      <c r="B155" s="5"/>
      <c r="C155" s="22"/>
      <c r="D155" s="22"/>
      <c r="E155" s="22"/>
      <c r="F155" s="22"/>
      <c r="G155" s="22"/>
      <c r="H155" s="14"/>
      <c r="I155" s="4"/>
      <c r="J155" s="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5"/>
      <c r="B156" s="5"/>
      <c r="C156" s="22"/>
      <c r="D156" s="22"/>
      <c r="E156" s="22"/>
      <c r="F156" s="22"/>
      <c r="G156" s="22"/>
      <c r="H156" s="14"/>
      <c r="I156" s="4"/>
      <c r="J156" s="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5"/>
      <c r="B157" s="5"/>
      <c r="C157" s="22"/>
      <c r="D157" s="22"/>
      <c r="E157" s="22"/>
      <c r="F157" s="22"/>
      <c r="G157" s="22"/>
      <c r="H157" s="14"/>
      <c r="I157" s="4"/>
      <c r="J157" s="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5"/>
      <c r="B158" s="5"/>
      <c r="C158" s="22"/>
      <c r="D158" s="22"/>
      <c r="E158" s="22"/>
      <c r="F158" s="22"/>
      <c r="G158" s="22"/>
      <c r="H158" s="14"/>
      <c r="I158" s="4"/>
      <c r="J158" s="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5"/>
      <c r="B159" s="5"/>
      <c r="C159" s="22"/>
      <c r="D159" s="22"/>
      <c r="E159" s="22"/>
      <c r="F159" s="22"/>
      <c r="G159" s="22"/>
      <c r="H159" s="14"/>
      <c r="I159" s="4"/>
      <c r="J159" s="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5"/>
      <c r="B160" s="5"/>
      <c r="C160" s="22"/>
      <c r="D160" s="22"/>
      <c r="E160" s="22"/>
      <c r="F160" s="22"/>
      <c r="G160" s="22"/>
      <c r="H160" s="14"/>
      <c r="I160" s="4"/>
      <c r="J160" s="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5"/>
      <c r="B161" s="5"/>
      <c r="C161" s="22"/>
      <c r="D161" s="22"/>
      <c r="E161" s="22"/>
      <c r="F161" s="22"/>
      <c r="G161" s="22"/>
      <c r="H161" s="14"/>
      <c r="I161" s="4"/>
      <c r="J161" s="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5"/>
      <c r="B162" s="5"/>
      <c r="C162" s="22"/>
      <c r="D162" s="22"/>
      <c r="E162" s="22"/>
      <c r="F162" s="22"/>
      <c r="G162" s="22"/>
      <c r="H162" s="14"/>
      <c r="I162" s="4"/>
      <c r="J162" s="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5"/>
      <c r="B163" s="5"/>
      <c r="C163" s="22"/>
      <c r="D163" s="22"/>
      <c r="E163" s="22"/>
      <c r="F163" s="22"/>
      <c r="G163" s="22"/>
      <c r="H163" s="14"/>
      <c r="I163" s="4"/>
      <c r="J163" s="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5"/>
      <c r="B164" s="5"/>
      <c r="C164" s="22"/>
      <c r="D164" s="22"/>
      <c r="E164" s="22"/>
      <c r="F164" s="22"/>
      <c r="G164" s="22"/>
      <c r="H164" s="14"/>
      <c r="I164" s="4"/>
      <c r="J164" s="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5"/>
      <c r="B165" s="5"/>
      <c r="C165" s="22"/>
      <c r="D165" s="22"/>
      <c r="E165" s="22"/>
      <c r="F165" s="22"/>
      <c r="G165" s="22"/>
      <c r="H165" s="14"/>
      <c r="I165" s="4"/>
      <c r="J165" s="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5"/>
      <c r="B166" s="5"/>
      <c r="C166" s="22"/>
      <c r="D166" s="22"/>
      <c r="E166" s="22"/>
      <c r="F166" s="22"/>
      <c r="G166" s="22"/>
      <c r="H166" s="14"/>
      <c r="I166" s="4"/>
      <c r="J166" s="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5"/>
      <c r="B167" s="5"/>
      <c r="C167" s="22"/>
      <c r="D167" s="22"/>
      <c r="E167" s="22"/>
      <c r="F167" s="22"/>
      <c r="G167" s="22"/>
      <c r="H167" s="14"/>
      <c r="I167" s="4"/>
      <c r="J167" s="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5"/>
      <c r="B168" s="5"/>
      <c r="C168" s="22"/>
      <c r="D168" s="22"/>
      <c r="E168" s="22"/>
      <c r="F168" s="22"/>
      <c r="G168" s="22"/>
      <c r="H168" s="14"/>
      <c r="I168" s="4"/>
      <c r="J168" s="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5"/>
      <c r="B169" s="5"/>
      <c r="C169" s="22"/>
      <c r="D169" s="22"/>
      <c r="E169" s="22"/>
      <c r="F169" s="22"/>
      <c r="G169" s="22"/>
      <c r="H169" s="14"/>
      <c r="I169" s="4"/>
      <c r="J169" s="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5"/>
      <c r="B170" s="5"/>
      <c r="C170" s="22"/>
      <c r="D170" s="22"/>
      <c r="E170" s="22"/>
      <c r="F170" s="22"/>
      <c r="G170" s="22"/>
      <c r="H170" s="14"/>
      <c r="I170" s="4"/>
      <c r="J170" s="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5"/>
      <c r="B171" s="5"/>
      <c r="C171" s="22"/>
      <c r="D171" s="22"/>
      <c r="E171" s="22"/>
      <c r="F171" s="22"/>
      <c r="G171" s="22"/>
      <c r="H171" s="14"/>
      <c r="I171" s="4"/>
      <c r="J171" s="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5"/>
      <c r="B172" s="5"/>
      <c r="C172" s="22"/>
      <c r="D172" s="22"/>
      <c r="E172" s="22"/>
      <c r="F172" s="22"/>
      <c r="G172" s="22"/>
      <c r="H172" s="14"/>
      <c r="I172" s="4"/>
      <c r="J172" s="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5"/>
      <c r="B173" s="5"/>
      <c r="C173" s="22"/>
      <c r="D173" s="22"/>
      <c r="E173" s="22"/>
      <c r="F173" s="22"/>
      <c r="G173" s="22"/>
      <c r="H173" s="14"/>
      <c r="I173" s="4"/>
      <c r="J173" s="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5"/>
      <c r="B174" s="5"/>
      <c r="C174" s="22"/>
      <c r="D174" s="22"/>
      <c r="E174" s="22"/>
      <c r="F174" s="22"/>
      <c r="G174" s="22"/>
      <c r="H174" s="14"/>
      <c r="I174" s="4"/>
      <c r="J174" s="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5"/>
      <c r="B175" s="5"/>
      <c r="C175" s="22"/>
      <c r="D175" s="22"/>
      <c r="E175" s="22"/>
      <c r="F175" s="22"/>
      <c r="G175" s="22"/>
      <c r="H175" s="14"/>
      <c r="I175" s="4"/>
      <c r="J175" s="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5"/>
      <c r="B176" s="5"/>
      <c r="C176" s="22"/>
      <c r="D176" s="22"/>
      <c r="E176" s="22"/>
      <c r="F176" s="22"/>
      <c r="G176" s="22"/>
      <c r="H176" s="14"/>
      <c r="I176" s="4"/>
      <c r="J176" s="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5"/>
      <c r="B177" s="5"/>
      <c r="C177" s="22"/>
      <c r="D177" s="22"/>
      <c r="E177" s="22"/>
      <c r="F177" s="22"/>
      <c r="G177" s="22"/>
      <c r="H177" s="14"/>
      <c r="I177" s="4"/>
      <c r="J177" s="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5"/>
      <c r="B178" s="5"/>
      <c r="C178" s="22"/>
      <c r="D178" s="22"/>
      <c r="E178" s="22"/>
      <c r="F178" s="22"/>
      <c r="G178" s="22"/>
      <c r="H178" s="14"/>
      <c r="I178" s="4"/>
      <c r="J178" s="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5"/>
      <c r="B179" s="5"/>
      <c r="C179" s="22"/>
      <c r="D179" s="22"/>
      <c r="E179" s="22"/>
      <c r="F179" s="22"/>
      <c r="G179" s="22"/>
      <c r="H179" s="14"/>
      <c r="I179" s="4"/>
      <c r="J179" s="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5"/>
      <c r="B180" s="5"/>
      <c r="C180" s="22"/>
      <c r="D180" s="22"/>
      <c r="E180" s="22"/>
      <c r="F180" s="22"/>
      <c r="G180" s="22"/>
      <c r="H180" s="14"/>
      <c r="I180" s="4"/>
      <c r="J180" s="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5"/>
      <c r="B181" s="5"/>
      <c r="C181" s="22"/>
      <c r="D181" s="22"/>
      <c r="E181" s="22"/>
      <c r="F181" s="22"/>
      <c r="G181" s="22"/>
      <c r="H181" s="14"/>
      <c r="I181" s="4"/>
      <c r="J181" s="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5"/>
      <c r="B182" s="5"/>
      <c r="C182" s="22"/>
      <c r="D182" s="22"/>
      <c r="E182" s="22"/>
      <c r="F182" s="22"/>
      <c r="G182" s="22"/>
      <c r="H182" s="14"/>
      <c r="I182" s="4"/>
      <c r="J182" s="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5"/>
      <c r="B183" s="5"/>
      <c r="C183" s="22"/>
      <c r="D183" s="22"/>
      <c r="E183" s="22"/>
      <c r="F183" s="22"/>
      <c r="G183" s="22"/>
      <c r="H183" s="14"/>
      <c r="I183" s="4"/>
      <c r="J183" s="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5"/>
      <c r="B184" s="5"/>
      <c r="C184" s="22"/>
      <c r="D184" s="22"/>
      <c r="E184" s="22"/>
      <c r="F184" s="22"/>
      <c r="G184" s="22"/>
      <c r="H184" s="14"/>
      <c r="I184" s="4"/>
      <c r="J184" s="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5"/>
      <c r="B185" s="5"/>
      <c r="C185" s="22"/>
      <c r="D185" s="22"/>
      <c r="E185" s="22"/>
      <c r="F185" s="22"/>
      <c r="G185" s="22"/>
      <c r="H185" s="14"/>
      <c r="I185" s="4"/>
      <c r="J185" s="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5"/>
      <c r="B186" s="5"/>
      <c r="C186" s="22"/>
      <c r="D186" s="22"/>
      <c r="E186" s="22"/>
      <c r="F186" s="22"/>
      <c r="G186" s="22"/>
      <c r="H186" s="14"/>
      <c r="I186" s="4"/>
      <c r="J186" s="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5"/>
      <c r="B187" s="5"/>
      <c r="C187" s="22"/>
      <c r="D187" s="22"/>
      <c r="E187" s="22"/>
      <c r="F187" s="22"/>
      <c r="G187" s="22"/>
      <c r="H187" s="14"/>
      <c r="I187" s="4"/>
      <c r="J187" s="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5"/>
      <c r="B188" s="5"/>
      <c r="C188" s="22"/>
      <c r="D188" s="22"/>
      <c r="E188" s="22"/>
      <c r="F188" s="22"/>
      <c r="G188" s="22"/>
      <c r="H188" s="14"/>
      <c r="I188" s="4"/>
      <c r="J188" s="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5"/>
      <c r="B189" s="5"/>
      <c r="C189" s="22"/>
      <c r="D189" s="22"/>
      <c r="E189" s="22"/>
      <c r="F189" s="22"/>
      <c r="G189" s="22"/>
      <c r="H189" s="14"/>
      <c r="I189" s="4"/>
      <c r="J189" s="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5"/>
      <c r="B190" s="5"/>
      <c r="C190" s="22"/>
      <c r="D190" s="22"/>
      <c r="E190" s="22"/>
      <c r="F190" s="22"/>
      <c r="G190" s="22"/>
      <c r="H190" s="14"/>
      <c r="I190" s="4"/>
      <c r="J190" s="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5"/>
      <c r="B191" s="5"/>
      <c r="C191" s="22"/>
      <c r="D191" s="22"/>
      <c r="E191" s="22"/>
      <c r="F191" s="22"/>
      <c r="G191" s="22"/>
      <c r="H191" s="14"/>
      <c r="I191" s="4"/>
      <c r="J191" s="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5"/>
      <c r="B192" s="5"/>
      <c r="C192" s="22"/>
      <c r="D192" s="22"/>
      <c r="E192" s="22"/>
      <c r="F192" s="22"/>
      <c r="G192" s="22"/>
      <c r="H192" s="14"/>
      <c r="I192" s="4"/>
      <c r="J192" s="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5"/>
      <c r="B193" s="5"/>
      <c r="C193" s="22"/>
      <c r="D193" s="22"/>
      <c r="E193" s="22"/>
      <c r="F193" s="22"/>
      <c r="G193" s="22"/>
      <c r="H193" s="14"/>
      <c r="I193" s="4"/>
      <c r="J193" s="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5"/>
      <c r="B194" s="5"/>
      <c r="C194" s="22"/>
      <c r="D194" s="22"/>
      <c r="E194" s="22"/>
      <c r="F194" s="22"/>
      <c r="G194" s="22"/>
      <c r="H194" s="14"/>
      <c r="I194" s="4"/>
      <c r="J194" s="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5"/>
      <c r="B195" s="5"/>
      <c r="C195" s="22"/>
      <c r="D195" s="22"/>
      <c r="E195" s="22"/>
      <c r="F195" s="22"/>
      <c r="G195" s="22"/>
      <c r="H195" s="14"/>
      <c r="I195" s="4"/>
      <c r="J195" s="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5"/>
      <c r="B196" s="5"/>
      <c r="C196" s="22"/>
      <c r="D196" s="22"/>
      <c r="E196" s="22"/>
      <c r="F196" s="22"/>
      <c r="G196" s="22"/>
      <c r="H196" s="14"/>
      <c r="I196" s="4"/>
      <c r="J196" s="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5"/>
      <c r="B197" s="5"/>
      <c r="C197" s="22"/>
      <c r="D197" s="22"/>
      <c r="E197" s="22"/>
      <c r="F197" s="22"/>
      <c r="G197" s="22"/>
      <c r="H197" s="14"/>
      <c r="I197" s="4"/>
      <c r="J197" s="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5"/>
      <c r="B198" s="5"/>
      <c r="C198" s="22"/>
      <c r="D198" s="22"/>
      <c r="E198" s="22"/>
      <c r="F198" s="22"/>
      <c r="G198" s="22"/>
      <c r="H198" s="14"/>
      <c r="I198" s="4"/>
      <c r="J198" s="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5"/>
      <c r="B199" s="5"/>
      <c r="C199" s="22"/>
      <c r="D199" s="22"/>
      <c r="E199" s="22"/>
      <c r="F199" s="22"/>
      <c r="G199" s="22"/>
      <c r="H199" s="14"/>
      <c r="I199" s="4"/>
      <c r="J199" s="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5"/>
      <c r="B200" s="5"/>
      <c r="C200" s="22"/>
      <c r="D200" s="22"/>
      <c r="E200" s="22"/>
      <c r="F200" s="22"/>
      <c r="G200" s="22"/>
      <c r="H200" s="14"/>
      <c r="I200" s="4"/>
      <c r="J200" s="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5"/>
      <c r="B201" s="5"/>
      <c r="C201" s="22"/>
      <c r="D201" s="22"/>
      <c r="E201" s="22"/>
      <c r="F201" s="22"/>
      <c r="G201" s="22"/>
      <c r="H201" s="14"/>
      <c r="I201" s="4"/>
      <c r="J201" s="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5"/>
      <c r="B202" s="5"/>
      <c r="C202" s="22"/>
      <c r="D202" s="22"/>
      <c r="E202" s="22"/>
      <c r="F202" s="22"/>
      <c r="G202" s="22"/>
      <c r="H202" s="14"/>
      <c r="I202" s="4"/>
      <c r="J202" s="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5"/>
      <c r="B203" s="5"/>
      <c r="C203" s="22"/>
      <c r="D203" s="22"/>
      <c r="E203" s="22"/>
      <c r="F203" s="22"/>
      <c r="G203" s="22"/>
      <c r="H203" s="14"/>
      <c r="I203" s="4"/>
      <c r="J203" s="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5"/>
      <c r="B204" s="5"/>
      <c r="C204" s="22"/>
      <c r="D204" s="22"/>
      <c r="E204" s="22"/>
      <c r="F204" s="22"/>
      <c r="G204" s="22"/>
      <c r="H204" s="14"/>
      <c r="I204" s="4"/>
      <c r="J204" s="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5"/>
      <c r="B205" s="5"/>
      <c r="C205" s="22"/>
      <c r="D205" s="22"/>
      <c r="E205" s="22"/>
      <c r="F205" s="22"/>
      <c r="G205" s="22"/>
      <c r="H205" s="14"/>
      <c r="I205" s="4"/>
      <c r="J205" s="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5"/>
      <c r="B206" s="5"/>
      <c r="C206" s="22"/>
      <c r="D206" s="22"/>
      <c r="E206" s="22"/>
      <c r="F206" s="22"/>
      <c r="G206" s="22"/>
      <c r="H206" s="14"/>
      <c r="I206" s="4"/>
      <c r="J206" s="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5"/>
      <c r="B207" s="5"/>
      <c r="C207" s="22"/>
      <c r="D207" s="22"/>
      <c r="E207" s="22"/>
      <c r="F207" s="22"/>
      <c r="G207" s="22"/>
      <c r="H207" s="14"/>
      <c r="I207" s="4"/>
      <c r="J207" s="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5"/>
      <c r="B208" s="5"/>
      <c r="C208" s="22"/>
      <c r="D208" s="22"/>
      <c r="E208" s="22"/>
      <c r="F208" s="22"/>
      <c r="G208" s="22"/>
      <c r="H208" s="14"/>
      <c r="I208" s="4"/>
      <c r="J208" s="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5"/>
      <c r="B209" s="5"/>
      <c r="C209" s="22"/>
      <c r="D209" s="22"/>
      <c r="E209" s="22"/>
      <c r="F209" s="22"/>
      <c r="G209" s="22"/>
      <c r="H209" s="14"/>
      <c r="I209" s="4"/>
      <c r="J209" s="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5"/>
      <c r="B210" s="5"/>
      <c r="C210" s="22"/>
      <c r="D210" s="22"/>
      <c r="E210" s="22"/>
      <c r="F210" s="22"/>
      <c r="G210" s="22"/>
      <c r="H210" s="14"/>
      <c r="I210" s="4"/>
      <c r="J210" s="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5"/>
      <c r="B211" s="5"/>
      <c r="C211" s="22"/>
      <c r="D211" s="22"/>
      <c r="E211" s="22"/>
      <c r="F211" s="22"/>
      <c r="G211" s="22"/>
      <c r="H211" s="14"/>
      <c r="I211" s="4"/>
      <c r="J211" s="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5"/>
      <c r="B212" s="5"/>
      <c r="C212" s="22"/>
      <c r="D212" s="22"/>
      <c r="E212" s="22"/>
      <c r="F212" s="22"/>
      <c r="G212" s="22"/>
      <c r="H212" s="14"/>
      <c r="I212" s="4"/>
      <c r="J212" s="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5"/>
      <c r="B213" s="5"/>
      <c r="C213" s="22"/>
      <c r="D213" s="22"/>
      <c r="E213" s="22"/>
      <c r="F213" s="22"/>
      <c r="G213" s="22"/>
      <c r="H213" s="14"/>
      <c r="I213" s="4"/>
      <c r="J213" s="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5"/>
      <c r="B214" s="5"/>
      <c r="C214" s="22"/>
      <c r="D214" s="22"/>
      <c r="E214" s="22"/>
      <c r="F214" s="22"/>
      <c r="G214" s="22"/>
      <c r="H214" s="14"/>
      <c r="I214" s="4"/>
      <c r="J214" s="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5"/>
      <c r="B215" s="5"/>
      <c r="C215" s="22"/>
      <c r="D215" s="22"/>
      <c r="E215" s="22"/>
      <c r="F215" s="22"/>
      <c r="G215" s="22"/>
      <c r="H215" s="14"/>
      <c r="I215" s="4"/>
      <c r="J215" s="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5"/>
      <c r="B216" s="5"/>
      <c r="C216" s="22"/>
      <c r="D216" s="22"/>
      <c r="E216" s="22"/>
      <c r="F216" s="22"/>
      <c r="G216" s="22"/>
      <c r="H216" s="14"/>
      <c r="I216" s="4"/>
      <c r="J216" s="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5"/>
      <c r="B217" s="5"/>
      <c r="C217" s="22"/>
      <c r="D217" s="22"/>
      <c r="E217" s="22"/>
      <c r="F217" s="22"/>
      <c r="G217" s="22"/>
      <c r="H217" s="14"/>
      <c r="I217" s="4"/>
      <c r="J217" s="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5"/>
      <c r="B218" s="5"/>
      <c r="C218" s="22"/>
      <c r="D218" s="22"/>
      <c r="E218" s="22"/>
      <c r="F218" s="22"/>
      <c r="G218" s="22"/>
      <c r="H218" s="14"/>
      <c r="I218" s="4"/>
      <c r="J218" s="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5"/>
      <c r="B219" s="5"/>
      <c r="C219" s="22"/>
      <c r="D219" s="22"/>
      <c r="E219" s="22"/>
      <c r="F219" s="22"/>
      <c r="G219" s="22"/>
      <c r="H219" s="14"/>
      <c r="I219" s="4"/>
      <c r="J219" s="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5"/>
      <c r="B220" s="5"/>
      <c r="C220" s="22"/>
      <c r="D220" s="22"/>
      <c r="E220" s="22"/>
      <c r="F220" s="22"/>
      <c r="G220" s="22"/>
      <c r="H220" s="14"/>
      <c r="I220" s="4"/>
      <c r="J220" s="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5"/>
      <c r="B221" s="5"/>
      <c r="C221" s="22"/>
      <c r="D221" s="22"/>
      <c r="E221" s="22"/>
      <c r="F221" s="22"/>
      <c r="G221" s="22"/>
      <c r="H221" s="14"/>
      <c r="I221" s="4"/>
      <c r="J221" s="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5"/>
      <c r="B222" s="5"/>
      <c r="C222" s="22"/>
      <c r="D222" s="22"/>
      <c r="E222" s="22"/>
      <c r="F222" s="22"/>
      <c r="G222" s="22"/>
      <c r="H222" s="14"/>
      <c r="I222" s="4"/>
      <c r="J222" s="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5"/>
      <c r="B223" s="5"/>
      <c r="C223" s="22"/>
      <c r="D223" s="22"/>
      <c r="E223" s="22"/>
      <c r="F223" s="22"/>
      <c r="G223" s="22"/>
      <c r="H223" s="14"/>
      <c r="I223" s="4"/>
      <c r="J223" s="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5"/>
      <c r="B224" s="5"/>
      <c r="C224" s="22"/>
      <c r="D224" s="22"/>
      <c r="E224" s="22"/>
      <c r="F224" s="22"/>
      <c r="G224" s="22"/>
      <c r="H224" s="14"/>
      <c r="I224" s="4"/>
      <c r="J224" s="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5"/>
      <c r="B225" s="5"/>
      <c r="C225" s="22"/>
      <c r="D225" s="22"/>
      <c r="E225" s="22"/>
      <c r="F225" s="22"/>
      <c r="G225" s="22"/>
      <c r="H225" s="14"/>
      <c r="I225" s="4"/>
      <c r="J225" s="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5"/>
      <c r="B226" s="5"/>
      <c r="C226" s="22"/>
      <c r="D226" s="22"/>
      <c r="E226" s="22"/>
      <c r="F226" s="22"/>
      <c r="G226" s="22"/>
      <c r="H226" s="14"/>
      <c r="I226" s="4"/>
      <c r="J226" s="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5"/>
      <c r="B227" s="5"/>
      <c r="C227" s="22"/>
      <c r="D227" s="22"/>
      <c r="E227" s="22"/>
      <c r="F227" s="22"/>
      <c r="G227" s="22"/>
      <c r="H227" s="14"/>
      <c r="I227" s="4"/>
      <c r="J227" s="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5"/>
      <c r="B228" s="5"/>
      <c r="C228" s="22"/>
      <c r="D228" s="22"/>
      <c r="E228" s="22"/>
      <c r="F228" s="22"/>
      <c r="G228" s="22"/>
      <c r="H228" s="14"/>
      <c r="I228" s="4"/>
      <c r="J228" s="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5"/>
      <c r="B229" s="5"/>
      <c r="C229" s="22"/>
      <c r="D229" s="22"/>
      <c r="E229" s="22"/>
      <c r="F229" s="22"/>
      <c r="G229" s="22"/>
      <c r="H229" s="14"/>
      <c r="I229" s="4"/>
      <c r="J229" s="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5"/>
      <c r="B230" s="5"/>
      <c r="C230" s="22"/>
      <c r="D230" s="22"/>
      <c r="E230" s="22"/>
      <c r="F230" s="22"/>
      <c r="G230" s="22"/>
      <c r="H230" s="14"/>
      <c r="I230" s="4"/>
      <c r="J230" s="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5"/>
      <c r="B231" s="5"/>
      <c r="C231" s="22"/>
      <c r="D231" s="22"/>
      <c r="E231" s="22"/>
      <c r="F231" s="22"/>
      <c r="G231" s="22"/>
      <c r="H231" s="14"/>
      <c r="I231" s="4"/>
      <c r="J231" s="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5"/>
      <c r="B232" s="5"/>
      <c r="C232" s="22"/>
      <c r="D232" s="22"/>
      <c r="E232" s="22"/>
      <c r="F232" s="22"/>
      <c r="G232" s="22"/>
      <c r="H232" s="14"/>
      <c r="I232" s="4"/>
      <c r="J232" s="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5"/>
      <c r="B233" s="5"/>
      <c r="C233" s="22"/>
      <c r="D233" s="22"/>
      <c r="E233" s="22"/>
      <c r="F233" s="22"/>
      <c r="G233" s="22"/>
      <c r="H233" s="14"/>
      <c r="I233" s="4"/>
      <c r="J233" s="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5"/>
      <c r="B234" s="5"/>
      <c r="C234" s="22"/>
      <c r="D234" s="22"/>
      <c r="E234" s="22"/>
      <c r="F234" s="22"/>
      <c r="G234" s="22"/>
      <c r="H234" s="14"/>
      <c r="I234" s="4"/>
      <c r="J234" s="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5"/>
      <c r="B235" s="5"/>
      <c r="C235" s="22"/>
      <c r="D235" s="22"/>
      <c r="E235" s="22"/>
      <c r="F235" s="22"/>
      <c r="G235" s="22"/>
      <c r="H235" s="14"/>
      <c r="I235" s="4"/>
      <c r="J235" s="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5"/>
      <c r="B236" s="5"/>
      <c r="C236" s="22"/>
      <c r="D236" s="22"/>
      <c r="E236" s="22"/>
      <c r="F236" s="22"/>
      <c r="G236" s="22"/>
      <c r="H236" s="14"/>
      <c r="I236" s="4"/>
      <c r="J236" s="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14:G14"/>
    <mergeCell ref="A24:G24"/>
    <mergeCell ref="A27:G27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11.75"/>
    <col customWidth="1" min="3" max="7" width="19.5"/>
    <col customWidth="1" min="8" max="8" width="51.63"/>
    <col customWidth="1" min="9" max="27" width="18.75"/>
  </cols>
  <sheetData>
    <row r="1" ht="29.25" customHeight="1">
      <c r="A1" s="55" t="s">
        <v>46</v>
      </c>
      <c r="B1" s="2"/>
      <c r="C1" s="2"/>
      <c r="D1" s="2"/>
      <c r="E1" s="2"/>
      <c r="F1" s="2"/>
      <c r="G1" s="2"/>
      <c r="H1" s="3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6" t="s">
        <v>1</v>
      </c>
      <c r="B2" s="7" t="s">
        <v>2</v>
      </c>
      <c r="C2" s="8" t="s">
        <v>3</v>
      </c>
      <c r="D2" s="8" t="s">
        <v>4</v>
      </c>
      <c r="E2" s="56" t="s">
        <v>47</v>
      </c>
      <c r="F2" s="8" t="s">
        <v>6</v>
      </c>
      <c r="G2" s="9" t="s">
        <v>7</v>
      </c>
      <c r="H2" s="10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60.75" customHeight="1">
      <c r="A3" s="57">
        <v>0.7847222222222222</v>
      </c>
      <c r="B3" s="58">
        <v>0.8055555555555556</v>
      </c>
      <c r="C3" s="59" t="s">
        <v>48</v>
      </c>
      <c r="D3" s="60" t="s">
        <v>21</v>
      </c>
      <c r="E3" s="59" t="s">
        <v>49</v>
      </c>
      <c r="F3" s="59" t="s">
        <v>50</v>
      </c>
      <c r="G3" s="59" t="s">
        <v>51</v>
      </c>
      <c r="H3" s="14"/>
      <c r="I3" s="15"/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9.25" customHeight="1">
      <c r="A4" s="61">
        <v>0.8055555555555556</v>
      </c>
      <c r="B4" s="61">
        <v>0.8263888888888888</v>
      </c>
      <c r="C4" s="59" t="s">
        <v>48</v>
      </c>
      <c r="D4" s="59" t="s">
        <v>51</v>
      </c>
      <c r="E4" s="59" t="s">
        <v>49</v>
      </c>
      <c r="F4" s="59" t="s">
        <v>50</v>
      </c>
      <c r="G4" s="59" t="s">
        <v>51</v>
      </c>
      <c r="H4" s="17"/>
      <c r="I4" s="15"/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4.0" customHeight="1">
      <c r="A5" s="61">
        <v>0.8263888888888888</v>
      </c>
      <c r="B5" s="61">
        <v>0.8472222222222222</v>
      </c>
      <c r="C5" s="59" t="s">
        <v>52</v>
      </c>
      <c r="D5" s="62" t="s">
        <v>53</v>
      </c>
      <c r="E5" s="59" t="s">
        <v>54</v>
      </c>
      <c r="F5" s="59" t="s">
        <v>55</v>
      </c>
      <c r="G5" s="59" t="s">
        <v>51</v>
      </c>
      <c r="H5" s="17"/>
      <c r="I5" s="15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66.75" customHeight="1">
      <c r="A6" s="61">
        <v>0.8472222222222222</v>
      </c>
      <c r="B6" s="61">
        <v>0.8680555555555556</v>
      </c>
      <c r="C6" s="59" t="s">
        <v>56</v>
      </c>
      <c r="D6" s="63" t="s">
        <v>57</v>
      </c>
      <c r="E6" s="62" t="s">
        <v>15</v>
      </c>
      <c r="F6" s="62" t="s">
        <v>17</v>
      </c>
      <c r="G6" s="64" t="s">
        <v>13</v>
      </c>
      <c r="H6" s="17"/>
      <c r="I6" s="15"/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9.5" customHeight="1">
      <c r="A7" s="65">
        <v>0.8680555555555556</v>
      </c>
      <c r="B7" s="65">
        <v>0.875</v>
      </c>
      <c r="C7" s="62" t="s">
        <v>16</v>
      </c>
      <c r="D7" s="62" t="s">
        <v>16</v>
      </c>
      <c r="E7" s="62" t="s">
        <v>16</v>
      </c>
      <c r="F7" s="62" t="s">
        <v>16</v>
      </c>
      <c r="G7" s="64" t="s">
        <v>16</v>
      </c>
      <c r="H7" s="17"/>
      <c r="I7" s="15"/>
      <c r="J7" s="2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66.0" customHeight="1">
      <c r="A8" s="61">
        <v>0.875</v>
      </c>
      <c r="B8" s="61">
        <v>0.8958333333333334</v>
      </c>
      <c r="C8" s="59" t="s">
        <v>56</v>
      </c>
      <c r="D8" s="63" t="s">
        <v>57</v>
      </c>
      <c r="E8" s="62" t="s">
        <v>15</v>
      </c>
      <c r="F8" s="62" t="s">
        <v>17</v>
      </c>
      <c r="G8" s="64" t="s">
        <v>13</v>
      </c>
      <c r="H8" s="17"/>
      <c r="I8" s="15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52.5" customHeight="1">
      <c r="A9" s="61">
        <v>0.8958333333333334</v>
      </c>
      <c r="B9" s="61">
        <v>0.9166666666666666</v>
      </c>
      <c r="C9" s="60" t="s">
        <v>21</v>
      </c>
      <c r="D9" s="59" t="s">
        <v>58</v>
      </c>
      <c r="E9" s="62" t="s">
        <v>15</v>
      </c>
      <c r="F9" s="62" t="s">
        <v>17</v>
      </c>
      <c r="G9" s="60" t="s">
        <v>21</v>
      </c>
      <c r="H9" s="17"/>
      <c r="I9" s="15"/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52.5" customHeight="1">
      <c r="A10" s="61">
        <v>0.9166666666666666</v>
      </c>
      <c r="B10" s="16">
        <v>0.9375</v>
      </c>
      <c r="C10" s="60" t="s">
        <v>21</v>
      </c>
      <c r="D10" s="59" t="s">
        <v>58</v>
      </c>
      <c r="E10" s="60" t="s">
        <v>21</v>
      </c>
      <c r="F10" s="60" t="s">
        <v>21</v>
      </c>
      <c r="G10" s="60" t="s">
        <v>21</v>
      </c>
      <c r="H10" s="14"/>
      <c r="I10" s="15"/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5"/>
      <c r="B11" s="5"/>
      <c r="C11" s="22"/>
      <c r="D11" s="24"/>
      <c r="E11" s="22"/>
      <c r="F11" s="22"/>
      <c r="G11" s="22"/>
      <c r="H11" s="14"/>
      <c r="I11" s="4"/>
      <c r="J11" s="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5"/>
      <c r="B12" s="5"/>
      <c r="C12" s="22"/>
      <c r="D12" s="22"/>
      <c r="E12" s="22"/>
      <c r="F12" s="22"/>
      <c r="G12" s="22"/>
      <c r="H12" s="14"/>
      <c r="I12" s="4"/>
      <c r="J12" s="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50.25" customHeight="1">
      <c r="A13" s="5"/>
      <c r="B13" s="25"/>
      <c r="C13" s="26"/>
      <c r="D13" s="26"/>
      <c r="E13" s="26"/>
      <c r="F13" s="26"/>
      <c r="G13" s="26"/>
      <c r="H13" s="14"/>
      <c r="I13" s="4"/>
      <c r="J13" s="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31.5" customHeight="1">
      <c r="A14" s="48" t="s">
        <v>59</v>
      </c>
      <c r="B14" s="2"/>
      <c r="C14" s="2"/>
      <c r="D14" s="2"/>
      <c r="E14" s="2"/>
      <c r="F14" s="2"/>
      <c r="G14" s="28"/>
      <c r="H14" s="29"/>
      <c r="I14" s="4"/>
      <c r="J14" s="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30" t="s">
        <v>1</v>
      </c>
      <c r="B15" s="31" t="s">
        <v>2</v>
      </c>
      <c r="C15" s="32" t="s">
        <v>3</v>
      </c>
      <c r="D15" s="32" t="s">
        <v>4</v>
      </c>
      <c r="E15" s="66" t="s">
        <v>47</v>
      </c>
      <c r="F15" s="32" t="s">
        <v>6</v>
      </c>
      <c r="G15" s="25" t="s">
        <v>7</v>
      </c>
      <c r="H15" s="33"/>
      <c r="I15" s="4"/>
      <c r="J15" s="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46.5" customHeight="1">
      <c r="A16" s="57">
        <v>0.7847222222222222</v>
      </c>
      <c r="B16" s="58">
        <v>0.8055555555555556</v>
      </c>
      <c r="C16" s="64" t="s">
        <v>20</v>
      </c>
      <c r="D16" s="59" t="s">
        <v>48</v>
      </c>
      <c r="E16" s="67" t="s">
        <v>60</v>
      </c>
      <c r="F16" s="62" t="s">
        <v>23</v>
      </c>
      <c r="G16" s="68" t="s">
        <v>31</v>
      </c>
      <c r="H16" s="14"/>
      <c r="I16" s="15"/>
      <c r="J16" s="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45.75" customHeight="1">
      <c r="A17" s="61">
        <v>0.8055555555555556</v>
      </c>
      <c r="B17" s="61">
        <v>0.8263888888888888</v>
      </c>
      <c r="C17" s="64" t="s">
        <v>20</v>
      </c>
      <c r="D17" s="59" t="s">
        <v>48</v>
      </c>
      <c r="E17" s="67" t="s">
        <v>60</v>
      </c>
      <c r="F17" s="62" t="s">
        <v>23</v>
      </c>
      <c r="G17" s="68" t="s">
        <v>31</v>
      </c>
      <c r="H17" s="17"/>
      <c r="I17" s="15"/>
      <c r="J17" s="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47.25" customHeight="1">
      <c r="A18" s="61">
        <v>0.8263888888888888</v>
      </c>
      <c r="B18" s="61">
        <v>0.8472222222222222</v>
      </c>
      <c r="C18" s="64" t="s">
        <v>20</v>
      </c>
      <c r="D18" s="62" t="s">
        <v>26</v>
      </c>
      <c r="E18" s="67" t="s">
        <v>60</v>
      </c>
      <c r="F18" s="62" t="s">
        <v>23</v>
      </c>
      <c r="G18" s="68" t="s">
        <v>31</v>
      </c>
      <c r="H18" s="17"/>
      <c r="I18" s="15"/>
      <c r="J18" s="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70.5" customHeight="1">
      <c r="A19" s="61">
        <v>0.8472222222222222</v>
      </c>
      <c r="B19" s="61">
        <v>0.8680555555555556</v>
      </c>
      <c r="C19" s="64" t="s">
        <v>20</v>
      </c>
      <c r="D19" s="62" t="s">
        <v>26</v>
      </c>
      <c r="E19" s="59" t="s">
        <v>61</v>
      </c>
      <c r="F19" s="69" t="s">
        <v>62</v>
      </c>
      <c r="G19" s="59" t="s">
        <v>51</v>
      </c>
      <c r="H19" s="17"/>
      <c r="I19" s="15"/>
      <c r="J19" s="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0.25" customHeight="1">
      <c r="A20" s="65">
        <v>0.8680555555555556</v>
      </c>
      <c r="B20" s="65">
        <v>0.875</v>
      </c>
      <c r="C20" s="70" t="s">
        <v>16</v>
      </c>
      <c r="D20" s="70" t="s">
        <v>16</v>
      </c>
      <c r="E20" s="70" t="s">
        <v>16</v>
      </c>
      <c r="F20" s="71" t="s">
        <v>16</v>
      </c>
      <c r="G20" s="72" t="s">
        <v>16</v>
      </c>
      <c r="H20" s="17"/>
      <c r="I20" s="15"/>
      <c r="J20" s="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87.0" customHeight="1">
      <c r="A21" s="61">
        <v>0.875</v>
      </c>
      <c r="B21" s="61">
        <v>0.8958333333333334</v>
      </c>
      <c r="C21" s="62" t="s">
        <v>29</v>
      </c>
      <c r="D21" s="62" t="s">
        <v>26</v>
      </c>
      <c r="E21" s="59" t="s">
        <v>61</v>
      </c>
      <c r="F21" s="69" t="s">
        <v>62</v>
      </c>
      <c r="G21" s="59" t="s">
        <v>51</v>
      </c>
      <c r="H21" s="17"/>
      <c r="I21" s="15"/>
      <c r="J21" s="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61.5" customHeight="1">
      <c r="A22" s="61">
        <v>0.8958333333333334</v>
      </c>
      <c r="B22" s="61">
        <v>0.9166666666666666</v>
      </c>
      <c r="C22" s="62" t="s">
        <v>29</v>
      </c>
      <c r="D22" s="60" t="s">
        <v>21</v>
      </c>
      <c r="E22" s="59" t="s">
        <v>61</v>
      </c>
      <c r="F22" s="60" t="s">
        <v>21</v>
      </c>
      <c r="G22" s="59" t="s">
        <v>51</v>
      </c>
      <c r="H22" s="14"/>
      <c r="I22" s="15"/>
      <c r="J22" s="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61.5" customHeight="1">
      <c r="A23" s="61">
        <v>0.9166666666666666</v>
      </c>
      <c r="B23" s="16">
        <v>0.9375</v>
      </c>
      <c r="C23" s="62" t="s">
        <v>29</v>
      </c>
      <c r="D23" s="60" t="s">
        <v>21</v>
      </c>
      <c r="E23" s="60" t="s">
        <v>21</v>
      </c>
      <c r="F23" s="60" t="s">
        <v>21</v>
      </c>
      <c r="G23" s="60" t="s">
        <v>21</v>
      </c>
      <c r="H23" s="14"/>
      <c r="I23" s="15"/>
      <c r="J23" s="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3"/>
      <c r="H24" s="29"/>
      <c r="I24" s="4"/>
      <c r="J24" s="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39.0" customHeight="1">
      <c r="A25" s="5"/>
      <c r="B25" s="5"/>
      <c r="C25" s="5"/>
      <c r="D25" s="5"/>
      <c r="E25" s="5"/>
      <c r="F25" s="5"/>
      <c r="G25" s="5"/>
      <c r="H25" s="33"/>
      <c r="I25" s="4"/>
      <c r="J25" s="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4"/>
      <c r="B26" s="45"/>
      <c r="C26" s="4"/>
      <c r="D26" s="46"/>
      <c r="E26" s="4"/>
      <c r="F26" s="46"/>
      <c r="G26" s="4"/>
      <c r="H26" s="47"/>
      <c r="I26" s="4"/>
      <c r="J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32.25" customHeight="1">
      <c r="A27" s="48" t="s">
        <v>33</v>
      </c>
      <c r="B27" s="2"/>
      <c r="C27" s="2"/>
      <c r="D27" s="2"/>
      <c r="E27" s="2"/>
      <c r="F27" s="2"/>
      <c r="G27" s="28"/>
      <c r="H27" s="33"/>
      <c r="I27" s="4"/>
      <c r="J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37" t="s">
        <v>1</v>
      </c>
      <c r="B28" s="16" t="s">
        <v>2</v>
      </c>
      <c r="C28" s="6" t="s">
        <v>3</v>
      </c>
      <c r="D28" s="6" t="s">
        <v>4</v>
      </c>
      <c r="E28" s="73" t="s">
        <v>47</v>
      </c>
      <c r="F28" s="6" t="s">
        <v>6</v>
      </c>
      <c r="G28" s="74" t="s">
        <v>7</v>
      </c>
      <c r="H28" s="17"/>
      <c r="I28" s="4"/>
      <c r="J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49.5" customHeight="1">
      <c r="A29" s="57">
        <v>0.7847222222222222</v>
      </c>
      <c r="B29" s="58">
        <v>0.8055555555555556</v>
      </c>
      <c r="C29" s="75" t="s">
        <v>63</v>
      </c>
      <c r="D29" s="50" t="s">
        <v>21</v>
      </c>
      <c r="E29" s="12" t="s">
        <v>35</v>
      </c>
      <c r="F29" s="12" t="s">
        <v>36</v>
      </c>
      <c r="G29" s="18" t="s">
        <v>37</v>
      </c>
      <c r="H29" s="51"/>
      <c r="I29" s="15">
        <v>0.020833333333333332</v>
      </c>
      <c r="J29" s="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56.25" customHeight="1">
      <c r="A30" s="61">
        <v>0.8055555555555556</v>
      </c>
      <c r="B30" s="61">
        <v>0.8263888888888888</v>
      </c>
      <c r="C30" s="75" t="s">
        <v>63</v>
      </c>
      <c r="D30" s="12" t="s">
        <v>36</v>
      </c>
      <c r="E30" s="12" t="s">
        <v>35</v>
      </c>
      <c r="F30" s="12" t="s">
        <v>36</v>
      </c>
      <c r="G30" s="18" t="s">
        <v>37</v>
      </c>
      <c r="H30" s="51"/>
      <c r="I30" s="15">
        <v>0.020833333333333332</v>
      </c>
      <c r="J30" s="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54.0" customHeight="1">
      <c r="A31" s="61">
        <v>0.8263888888888888</v>
      </c>
      <c r="B31" s="61">
        <v>0.8472222222222222</v>
      </c>
      <c r="C31" s="75" t="s">
        <v>64</v>
      </c>
      <c r="D31" s="12" t="s">
        <v>38</v>
      </c>
      <c r="E31" s="12" t="s">
        <v>35</v>
      </c>
      <c r="F31" s="12" t="s">
        <v>36</v>
      </c>
      <c r="G31" s="18" t="s">
        <v>37</v>
      </c>
      <c r="H31" s="51"/>
      <c r="I31" s="15">
        <v>0.020833333333333332</v>
      </c>
      <c r="J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78.75" customHeight="1">
      <c r="A32" s="61">
        <v>0.8472222222222222</v>
      </c>
      <c r="B32" s="61">
        <v>0.8680555555555556</v>
      </c>
      <c r="C32" s="75" t="s">
        <v>64</v>
      </c>
      <c r="D32" s="12" t="s">
        <v>38</v>
      </c>
      <c r="E32" s="75" t="s">
        <v>65</v>
      </c>
      <c r="F32" s="13" t="s">
        <v>41</v>
      </c>
      <c r="G32" s="75" t="s">
        <v>64</v>
      </c>
      <c r="H32" s="51"/>
      <c r="I32" s="15">
        <v>0.020833333333333332</v>
      </c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65">
        <v>0.8680555555555556</v>
      </c>
      <c r="B33" s="65">
        <v>0.875</v>
      </c>
      <c r="C33" s="13" t="s">
        <v>16</v>
      </c>
      <c r="D33" s="12" t="s">
        <v>16</v>
      </c>
      <c r="E33" s="12" t="s">
        <v>16</v>
      </c>
      <c r="F33" s="13" t="s">
        <v>16</v>
      </c>
      <c r="G33" s="50" t="s">
        <v>16</v>
      </c>
      <c r="H33" s="51"/>
      <c r="I33" s="15">
        <v>0.006944444444444444</v>
      </c>
      <c r="J33" s="4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54.75" customHeight="1">
      <c r="A34" s="61">
        <v>0.875</v>
      </c>
      <c r="B34" s="61">
        <v>0.8958333333333334</v>
      </c>
      <c r="C34" s="12" t="s">
        <v>45</v>
      </c>
      <c r="D34" s="12" t="s">
        <v>43</v>
      </c>
      <c r="E34" s="75" t="s">
        <v>66</v>
      </c>
      <c r="F34" s="13" t="s">
        <v>41</v>
      </c>
      <c r="G34" s="75" t="s">
        <v>64</v>
      </c>
      <c r="H34" s="51"/>
      <c r="I34" s="15">
        <v>0.020833333333333332</v>
      </c>
      <c r="J34" s="4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54.0" customHeight="1">
      <c r="A35" s="61">
        <v>0.8958333333333334</v>
      </c>
      <c r="B35" s="61">
        <v>0.9166666666666666</v>
      </c>
      <c r="C35" s="12" t="s">
        <v>45</v>
      </c>
      <c r="D35" s="12" t="s">
        <v>43</v>
      </c>
      <c r="E35" s="75" t="s">
        <v>66</v>
      </c>
      <c r="F35" s="13" t="s">
        <v>41</v>
      </c>
      <c r="G35" s="50" t="s">
        <v>21</v>
      </c>
      <c r="H35" s="51"/>
      <c r="I35" s="15">
        <v>0.020833333333333332</v>
      </c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56.25" customHeight="1">
      <c r="A36" s="16">
        <f>B36-I36</f>
        <v>0.9166666667</v>
      </c>
      <c r="B36" s="16">
        <v>0.9375</v>
      </c>
      <c r="C36" s="50" t="s">
        <v>21</v>
      </c>
      <c r="D36" s="12" t="s">
        <v>43</v>
      </c>
      <c r="E36" s="75" t="s">
        <v>66</v>
      </c>
      <c r="F36" s="13" t="s">
        <v>41</v>
      </c>
      <c r="G36" s="50" t="s">
        <v>21</v>
      </c>
      <c r="H36" s="51"/>
      <c r="I36" s="15">
        <v>0.020833333333333332</v>
      </c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5"/>
      <c r="B37" s="5"/>
      <c r="C37" s="22"/>
      <c r="D37" s="22"/>
      <c r="E37" s="22"/>
      <c r="F37" s="22"/>
      <c r="G37" s="22"/>
      <c r="H37" s="14"/>
      <c r="I37" s="4"/>
      <c r="J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5"/>
      <c r="B38" s="5"/>
      <c r="C38" s="22"/>
      <c r="E38" s="22"/>
      <c r="F38" s="22"/>
      <c r="G38" s="22"/>
      <c r="H38" s="76" t="s">
        <v>67</v>
      </c>
      <c r="I38" s="4"/>
      <c r="J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5"/>
      <c r="B39" s="5"/>
      <c r="E39" s="22"/>
      <c r="F39" s="22"/>
      <c r="G39" s="22"/>
      <c r="H39" s="14"/>
      <c r="I39" s="4"/>
      <c r="J39" s="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5"/>
      <c r="B40" s="5"/>
      <c r="E40" s="22"/>
      <c r="F40" s="22"/>
      <c r="G40" s="22"/>
      <c r="H40" s="14"/>
      <c r="I40" s="4"/>
      <c r="J40" s="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5"/>
      <c r="B41" s="5"/>
      <c r="E41" s="22"/>
      <c r="F41" s="22"/>
      <c r="G41" s="22"/>
      <c r="H41" s="14"/>
      <c r="I41" s="4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5"/>
      <c r="B42" s="5"/>
      <c r="C42" s="22"/>
      <c r="D42" s="22"/>
      <c r="E42" s="22"/>
      <c r="F42" s="22"/>
      <c r="G42" s="22"/>
      <c r="H42" s="14"/>
      <c r="I42" s="4"/>
      <c r="J42" s="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5"/>
      <c r="B43" s="5"/>
      <c r="C43" s="22"/>
      <c r="D43" s="22"/>
      <c r="E43" s="22"/>
      <c r="F43" s="22"/>
      <c r="G43" s="22"/>
      <c r="H43" s="14"/>
      <c r="I43" s="4"/>
      <c r="J43" s="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5"/>
      <c r="B44" s="5"/>
      <c r="C44" s="22"/>
      <c r="D44" s="22"/>
      <c r="E44" s="22"/>
      <c r="F44" s="22"/>
      <c r="G44" s="22"/>
      <c r="H44" s="14"/>
      <c r="I44" s="4"/>
      <c r="J44" s="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5"/>
      <c r="B45" s="5"/>
      <c r="C45" s="22"/>
      <c r="D45" s="22"/>
      <c r="E45" s="22" t="s">
        <v>68</v>
      </c>
      <c r="F45" s="22"/>
      <c r="G45" s="22"/>
      <c r="H45" s="14"/>
      <c r="I45" s="4"/>
      <c r="J45" s="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5"/>
      <c r="B46" s="5"/>
      <c r="C46" s="22"/>
      <c r="D46" s="22"/>
      <c r="E46" s="22"/>
      <c r="F46" s="22"/>
      <c r="G46" s="22"/>
      <c r="H46" s="14"/>
      <c r="I46" s="4"/>
      <c r="J46" s="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5"/>
      <c r="B47" s="5"/>
      <c r="C47" s="22"/>
      <c r="D47" s="22"/>
      <c r="E47" s="22"/>
      <c r="F47" s="22"/>
      <c r="G47" s="22"/>
      <c r="H47" s="14"/>
      <c r="I47" s="4"/>
      <c r="J47" s="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5"/>
      <c r="B48" s="5"/>
      <c r="C48" s="22"/>
      <c r="D48" s="22"/>
      <c r="E48" s="22"/>
      <c r="F48" s="22"/>
      <c r="G48" s="22"/>
      <c r="H48" s="14"/>
      <c r="I48" s="4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5"/>
      <c r="B49" s="5"/>
      <c r="C49" s="22"/>
      <c r="D49" s="22"/>
      <c r="E49" s="22"/>
      <c r="F49" s="22"/>
      <c r="G49" s="22"/>
      <c r="H49" s="14"/>
      <c r="I49" s="4"/>
      <c r="J49" s="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5"/>
      <c r="B50" s="5"/>
      <c r="C50" s="22"/>
      <c r="D50" s="22"/>
      <c r="E50" s="22"/>
      <c r="F50" s="22"/>
      <c r="G50" s="22"/>
      <c r="H50" s="14"/>
      <c r="I50" s="4"/>
      <c r="J50" s="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5"/>
      <c r="B51" s="5"/>
      <c r="C51" s="22"/>
      <c r="D51" s="22"/>
      <c r="E51" s="22"/>
      <c r="F51" s="22"/>
      <c r="G51" s="22"/>
      <c r="H51" s="14"/>
      <c r="I51" s="4"/>
      <c r="J51" s="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5"/>
      <c r="B52" s="5"/>
      <c r="C52" s="22"/>
      <c r="D52" s="22"/>
      <c r="E52" s="22"/>
      <c r="F52" s="22"/>
      <c r="G52" s="22"/>
      <c r="H52" s="14"/>
      <c r="I52" s="4"/>
      <c r="J52" s="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5"/>
      <c r="B53" s="5"/>
      <c r="C53" s="22"/>
      <c r="D53" s="22"/>
      <c r="E53" s="22"/>
      <c r="F53" s="22"/>
      <c r="G53" s="22"/>
      <c r="H53" s="14"/>
      <c r="I53" s="4"/>
      <c r="J53" s="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5"/>
      <c r="B54" s="5"/>
      <c r="C54" s="22"/>
      <c r="D54" s="22"/>
      <c r="E54" s="22"/>
      <c r="F54" s="22"/>
      <c r="G54" s="22"/>
      <c r="H54" s="14"/>
      <c r="I54" s="4"/>
      <c r="J54" s="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5"/>
      <c r="B55" s="5"/>
      <c r="C55" s="22"/>
      <c r="D55" s="22"/>
      <c r="E55" s="22"/>
      <c r="F55" s="22"/>
      <c r="G55" s="22"/>
      <c r="H55" s="14"/>
      <c r="I55" s="4"/>
      <c r="J55" s="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5"/>
      <c r="B56" s="5"/>
      <c r="C56" s="22"/>
      <c r="D56" s="22"/>
      <c r="E56" s="22"/>
      <c r="F56" s="22"/>
      <c r="G56" s="22"/>
      <c r="H56" s="14"/>
      <c r="I56" s="4"/>
      <c r="J56" s="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5"/>
      <c r="B57" s="5"/>
      <c r="C57" s="22"/>
      <c r="D57" s="22"/>
      <c r="E57" s="22"/>
      <c r="F57" s="22"/>
      <c r="G57" s="22"/>
      <c r="H57" s="14"/>
      <c r="I57" s="4"/>
      <c r="J57" s="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5"/>
      <c r="B58" s="5"/>
      <c r="C58" s="22"/>
      <c r="D58" s="22"/>
      <c r="E58" s="22"/>
      <c r="F58" s="22"/>
      <c r="G58" s="22"/>
      <c r="H58" s="14"/>
      <c r="I58" s="4"/>
      <c r="J58" s="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"/>
      <c r="B59" s="5"/>
      <c r="C59" s="22"/>
      <c r="D59" s="22"/>
      <c r="E59" s="22"/>
      <c r="F59" s="22"/>
      <c r="G59" s="22"/>
      <c r="H59" s="14"/>
      <c r="I59" s="4"/>
      <c r="J59" s="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5"/>
      <c r="B60" s="5"/>
      <c r="C60" s="22"/>
      <c r="D60" s="22"/>
      <c r="E60" s="22"/>
      <c r="F60" s="22"/>
      <c r="G60" s="22"/>
      <c r="H60" s="14"/>
      <c r="I60" s="4"/>
      <c r="J60" s="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5"/>
      <c r="B61" s="5"/>
      <c r="C61" s="22"/>
      <c r="D61" s="22"/>
      <c r="E61" s="22"/>
      <c r="F61" s="22"/>
      <c r="G61" s="22"/>
      <c r="H61" s="14"/>
      <c r="I61" s="4"/>
      <c r="J61" s="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5"/>
      <c r="B62" s="5"/>
      <c r="C62" s="22"/>
      <c r="D62" s="22"/>
      <c r="E62" s="22"/>
      <c r="F62" s="22"/>
      <c r="G62" s="22"/>
      <c r="H62" s="14"/>
      <c r="I62" s="4"/>
      <c r="J62" s="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5"/>
      <c r="B63" s="5"/>
      <c r="C63" s="22"/>
      <c r="D63" s="22"/>
      <c r="E63" s="22"/>
      <c r="F63" s="22"/>
      <c r="G63" s="22"/>
      <c r="H63" s="14"/>
      <c r="I63" s="4"/>
      <c r="J63" s="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5"/>
      <c r="B64" s="5"/>
      <c r="C64" s="22"/>
      <c r="D64" s="22"/>
      <c r="E64" s="22"/>
      <c r="F64" s="22"/>
      <c r="G64" s="22"/>
      <c r="H64" s="14"/>
      <c r="I64" s="4"/>
      <c r="J64" s="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5"/>
      <c r="B65" s="5"/>
      <c r="C65" s="22"/>
      <c r="D65" s="22"/>
      <c r="E65" s="22"/>
      <c r="F65" s="22"/>
      <c r="G65" s="22"/>
      <c r="H65" s="14"/>
      <c r="I65" s="4"/>
      <c r="J65" s="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5"/>
      <c r="B66" s="5"/>
      <c r="C66" s="22"/>
      <c r="D66" s="22"/>
      <c r="E66" s="22"/>
      <c r="F66" s="22"/>
      <c r="G66" s="22"/>
      <c r="H66" s="14"/>
      <c r="I66" s="4"/>
      <c r="J66" s="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5"/>
      <c r="B67" s="5"/>
      <c r="C67" s="22"/>
      <c r="D67" s="22"/>
      <c r="E67" s="22"/>
      <c r="F67" s="22"/>
      <c r="G67" s="22"/>
      <c r="H67" s="14"/>
      <c r="I67" s="4"/>
      <c r="J67" s="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5"/>
      <c r="B68" s="5"/>
      <c r="C68" s="22"/>
      <c r="D68" s="22"/>
      <c r="E68" s="22"/>
      <c r="F68" s="22"/>
      <c r="G68" s="22"/>
      <c r="H68" s="14"/>
      <c r="I68" s="4"/>
      <c r="J68" s="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5"/>
      <c r="B69" s="5"/>
      <c r="C69" s="22"/>
      <c r="D69" s="22"/>
      <c r="E69" s="22"/>
      <c r="F69" s="22"/>
      <c r="G69" s="22"/>
      <c r="H69" s="14"/>
      <c r="I69" s="4"/>
      <c r="J69" s="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5"/>
      <c r="B70" s="5"/>
      <c r="C70" s="22"/>
      <c r="D70" s="22"/>
      <c r="E70" s="22"/>
      <c r="F70" s="22"/>
      <c r="G70" s="22"/>
      <c r="H70" s="14"/>
      <c r="I70" s="4"/>
      <c r="J70" s="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5"/>
      <c r="B71" s="5"/>
      <c r="C71" s="22"/>
      <c r="D71" s="22"/>
      <c r="E71" s="22"/>
      <c r="F71" s="22"/>
      <c r="G71" s="22"/>
      <c r="H71" s="14"/>
      <c r="I71" s="4"/>
      <c r="J71" s="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5"/>
      <c r="B72" s="5"/>
      <c r="C72" s="22"/>
      <c r="D72" s="22"/>
      <c r="E72" s="22"/>
      <c r="F72" s="22"/>
      <c r="G72" s="22"/>
      <c r="H72" s="14"/>
      <c r="I72" s="4"/>
      <c r="J72" s="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5"/>
      <c r="B73" s="5"/>
      <c r="C73" s="22"/>
      <c r="D73" s="22"/>
      <c r="E73" s="22"/>
      <c r="F73" s="22"/>
      <c r="G73" s="22"/>
      <c r="H73" s="14"/>
      <c r="I73" s="4"/>
      <c r="J73" s="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5"/>
      <c r="B74" s="5"/>
      <c r="C74" s="22"/>
      <c r="D74" s="22"/>
      <c r="E74" s="22"/>
      <c r="F74" s="22"/>
      <c r="G74" s="22"/>
      <c r="H74" s="14"/>
      <c r="I74" s="4"/>
      <c r="J74" s="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5"/>
      <c r="B75" s="5"/>
      <c r="C75" s="22"/>
      <c r="D75" s="22"/>
      <c r="E75" s="22"/>
      <c r="F75" s="22"/>
      <c r="G75" s="22"/>
      <c r="H75" s="14"/>
      <c r="I75" s="4"/>
      <c r="J75" s="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5"/>
      <c r="B76" s="5"/>
      <c r="C76" s="22"/>
      <c r="D76" s="22"/>
      <c r="E76" s="22"/>
      <c r="F76" s="22"/>
      <c r="G76" s="22"/>
      <c r="H76" s="14"/>
      <c r="I76" s="4"/>
      <c r="J76" s="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5"/>
      <c r="B77" s="5"/>
      <c r="C77" s="22"/>
      <c r="D77" s="22"/>
      <c r="E77" s="22"/>
      <c r="F77" s="22"/>
      <c r="G77" s="22"/>
      <c r="H77" s="14"/>
      <c r="I77" s="4"/>
      <c r="J77" s="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5"/>
      <c r="B78" s="5"/>
      <c r="C78" s="22"/>
      <c r="D78" s="22"/>
      <c r="E78" s="22"/>
      <c r="F78" s="22"/>
      <c r="G78" s="22"/>
      <c r="H78" s="14"/>
      <c r="I78" s="4"/>
      <c r="J78" s="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5"/>
      <c r="B79" s="5"/>
      <c r="C79" s="22"/>
      <c r="D79" s="22"/>
      <c r="E79" s="22"/>
      <c r="F79" s="22"/>
      <c r="G79" s="22"/>
      <c r="H79" s="14"/>
      <c r="I79" s="4"/>
      <c r="J79" s="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5"/>
      <c r="B80" s="5"/>
      <c r="C80" s="22"/>
      <c r="D80" s="22"/>
      <c r="E80" s="22"/>
      <c r="F80" s="22"/>
      <c r="G80" s="22"/>
      <c r="H80" s="14"/>
      <c r="I80" s="4"/>
      <c r="J80" s="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5"/>
      <c r="B81" s="5"/>
      <c r="C81" s="22"/>
      <c r="D81" s="22"/>
      <c r="E81" s="22"/>
      <c r="F81" s="22"/>
      <c r="G81" s="22"/>
      <c r="H81" s="14"/>
      <c r="I81" s="4"/>
      <c r="J81" s="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5"/>
      <c r="B82" s="5"/>
      <c r="C82" s="22"/>
      <c r="D82" s="22"/>
      <c r="E82" s="22"/>
      <c r="F82" s="22"/>
      <c r="G82" s="22"/>
      <c r="H82" s="14"/>
      <c r="I82" s="4"/>
      <c r="J82" s="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5"/>
      <c r="B83" s="5"/>
      <c r="C83" s="22"/>
      <c r="D83" s="22"/>
      <c r="E83" s="22"/>
      <c r="F83" s="22"/>
      <c r="G83" s="22"/>
      <c r="H83" s="14"/>
      <c r="I83" s="4"/>
      <c r="J83" s="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5"/>
      <c r="B84" s="5"/>
      <c r="C84" s="22"/>
      <c r="D84" s="22"/>
      <c r="E84" s="22"/>
      <c r="F84" s="22"/>
      <c r="G84" s="22"/>
      <c r="H84" s="14"/>
      <c r="I84" s="4"/>
      <c r="J84" s="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5"/>
      <c r="B85" s="5"/>
      <c r="C85" s="22"/>
      <c r="D85" s="22"/>
      <c r="E85" s="22"/>
      <c r="F85" s="22"/>
      <c r="G85" s="22"/>
      <c r="H85" s="14"/>
      <c r="I85" s="4"/>
      <c r="J85" s="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5"/>
      <c r="B86" s="5"/>
      <c r="C86" s="22"/>
      <c r="D86" s="22"/>
      <c r="E86" s="22"/>
      <c r="F86" s="22"/>
      <c r="G86" s="22"/>
      <c r="H86" s="14"/>
      <c r="I86" s="4"/>
      <c r="J86" s="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5"/>
      <c r="B87" s="5"/>
      <c r="C87" s="22"/>
      <c r="D87" s="22"/>
      <c r="E87" s="22"/>
      <c r="F87" s="22"/>
      <c r="G87" s="22"/>
      <c r="H87" s="14"/>
      <c r="I87" s="4"/>
      <c r="J87" s="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5"/>
      <c r="B88" s="5"/>
      <c r="C88" s="22"/>
      <c r="D88" s="22"/>
      <c r="E88" s="22"/>
      <c r="F88" s="22"/>
      <c r="G88" s="22"/>
      <c r="H88" s="14"/>
      <c r="I88" s="4"/>
      <c r="J88" s="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5"/>
      <c r="B89" s="5"/>
      <c r="C89" s="22"/>
      <c r="D89" s="22"/>
      <c r="E89" s="22"/>
      <c r="F89" s="22"/>
      <c r="G89" s="22"/>
      <c r="H89" s="14"/>
      <c r="I89" s="4"/>
      <c r="J89" s="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5"/>
      <c r="B90" s="5"/>
      <c r="C90" s="22"/>
      <c r="D90" s="22"/>
      <c r="E90" s="22"/>
      <c r="F90" s="22"/>
      <c r="G90" s="22"/>
      <c r="H90" s="14"/>
      <c r="I90" s="4"/>
      <c r="J90" s="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5"/>
      <c r="B91" s="5"/>
      <c r="C91" s="22"/>
      <c r="D91" s="22"/>
      <c r="E91" s="22"/>
      <c r="F91" s="22"/>
      <c r="G91" s="22"/>
      <c r="H91" s="14"/>
      <c r="I91" s="4"/>
      <c r="J91" s="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5"/>
      <c r="B92" s="5"/>
      <c r="C92" s="22"/>
      <c r="D92" s="22"/>
      <c r="E92" s="22"/>
      <c r="F92" s="22"/>
      <c r="G92" s="22"/>
      <c r="H92" s="14"/>
      <c r="I92" s="4"/>
      <c r="J92" s="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5"/>
      <c r="B93" s="5"/>
      <c r="C93" s="22"/>
      <c r="D93" s="22"/>
      <c r="E93" s="22"/>
      <c r="F93" s="22"/>
      <c r="G93" s="22"/>
      <c r="H93" s="14"/>
      <c r="I93" s="4"/>
      <c r="J93" s="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5"/>
      <c r="B94" s="5"/>
      <c r="C94" s="22"/>
      <c r="D94" s="22"/>
      <c r="E94" s="22"/>
      <c r="F94" s="22"/>
      <c r="G94" s="22"/>
      <c r="H94" s="14"/>
      <c r="I94" s="4"/>
      <c r="J94" s="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5"/>
      <c r="B95" s="5"/>
      <c r="C95" s="22"/>
      <c r="D95" s="22"/>
      <c r="E95" s="22"/>
      <c r="F95" s="22"/>
      <c r="G95" s="22"/>
      <c r="H95" s="14"/>
      <c r="I95" s="4"/>
      <c r="J95" s="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5"/>
      <c r="B96" s="5"/>
      <c r="C96" s="22"/>
      <c r="D96" s="22"/>
      <c r="E96" s="22"/>
      <c r="F96" s="22"/>
      <c r="G96" s="22"/>
      <c r="H96" s="14"/>
      <c r="I96" s="4"/>
      <c r="J96" s="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5"/>
      <c r="B97" s="5"/>
      <c r="C97" s="22"/>
      <c r="D97" s="22"/>
      <c r="E97" s="22"/>
      <c r="F97" s="22"/>
      <c r="G97" s="22"/>
      <c r="H97" s="14"/>
      <c r="I97" s="4"/>
      <c r="J97" s="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5"/>
      <c r="B98" s="5"/>
      <c r="C98" s="22"/>
      <c r="D98" s="22"/>
      <c r="E98" s="22"/>
      <c r="F98" s="22"/>
      <c r="G98" s="22"/>
      <c r="H98" s="14"/>
      <c r="I98" s="4"/>
      <c r="J98" s="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5"/>
      <c r="B99" s="5"/>
      <c r="C99" s="22"/>
      <c r="D99" s="22"/>
      <c r="E99" s="22"/>
      <c r="F99" s="22"/>
      <c r="G99" s="22"/>
      <c r="H99" s="14"/>
      <c r="I99" s="4"/>
      <c r="J99" s="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5"/>
      <c r="B100" s="5"/>
      <c r="C100" s="22"/>
      <c r="D100" s="22"/>
      <c r="E100" s="22"/>
      <c r="F100" s="22"/>
      <c r="G100" s="22"/>
      <c r="H100" s="14"/>
      <c r="I100" s="4"/>
      <c r="J100" s="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5"/>
      <c r="B101" s="5"/>
      <c r="C101" s="22"/>
      <c r="D101" s="22"/>
      <c r="E101" s="22"/>
      <c r="F101" s="22"/>
      <c r="G101" s="22"/>
      <c r="H101" s="14"/>
      <c r="I101" s="4"/>
      <c r="J101" s="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5"/>
      <c r="B102" s="5"/>
      <c r="C102" s="22"/>
      <c r="D102" s="22"/>
      <c r="E102" s="22"/>
      <c r="F102" s="22"/>
      <c r="G102" s="22"/>
      <c r="H102" s="14"/>
      <c r="I102" s="4"/>
      <c r="J102" s="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5"/>
      <c r="B103" s="5"/>
      <c r="C103" s="22"/>
      <c r="D103" s="22"/>
      <c r="E103" s="22"/>
      <c r="F103" s="22"/>
      <c r="G103" s="22"/>
      <c r="H103" s="14"/>
      <c r="I103" s="4"/>
      <c r="J103" s="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5"/>
      <c r="B104" s="5"/>
      <c r="C104" s="22"/>
      <c r="D104" s="22"/>
      <c r="E104" s="22"/>
      <c r="F104" s="22"/>
      <c r="G104" s="22"/>
      <c r="H104" s="14"/>
      <c r="I104" s="4"/>
      <c r="J104" s="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5"/>
      <c r="B105" s="5"/>
      <c r="C105" s="22"/>
      <c r="D105" s="22"/>
      <c r="E105" s="22"/>
      <c r="F105" s="22"/>
      <c r="G105" s="22"/>
      <c r="H105" s="14"/>
      <c r="I105" s="4"/>
      <c r="J105" s="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5"/>
      <c r="B106" s="5"/>
      <c r="C106" s="22"/>
      <c r="D106" s="22"/>
      <c r="E106" s="22"/>
      <c r="F106" s="22"/>
      <c r="G106" s="22"/>
      <c r="H106" s="14"/>
      <c r="I106" s="4"/>
      <c r="J106" s="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5"/>
      <c r="B107" s="5"/>
      <c r="C107" s="22"/>
      <c r="D107" s="22"/>
      <c r="E107" s="22"/>
      <c r="F107" s="22"/>
      <c r="G107" s="22"/>
      <c r="H107" s="14"/>
      <c r="I107" s="4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5"/>
      <c r="B108" s="5"/>
      <c r="C108" s="22"/>
      <c r="D108" s="22"/>
      <c r="E108" s="22"/>
      <c r="F108" s="22"/>
      <c r="G108" s="22"/>
      <c r="H108" s="14"/>
      <c r="I108" s="4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5"/>
      <c r="B109" s="5"/>
      <c r="C109" s="22"/>
      <c r="D109" s="22"/>
      <c r="E109" s="22"/>
      <c r="F109" s="22"/>
      <c r="G109" s="22"/>
      <c r="H109" s="14"/>
      <c r="I109" s="4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5"/>
      <c r="B110" s="5"/>
      <c r="C110" s="22"/>
      <c r="D110" s="22"/>
      <c r="E110" s="22"/>
      <c r="F110" s="22"/>
      <c r="G110" s="22"/>
      <c r="H110" s="14"/>
      <c r="I110" s="4"/>
      <c r="J110" s="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5"/>
      <c r="B111" s="5"/>
      <c r="C111" s="22"/>
      <c r="D111" s="22"/>
      <c r="E111" s="22"/>
      <c r="F111" s="22"/>
      <c r="G111" s="22"/>
      <c r="H111" s="14"/>
      <c r="I111" s="4"/>
      <c r="J111" s="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5"/>
      <c r="B112" s="5"/>
      <c r="C112" s="22"/>
      <c r="D112" s="22"/>
      <c r="E112" s="22"/>
      <c r="F112" s="22"/>
      <c r="G112" s="22"/>
      <c r="H112" s="14"/>
      <c r="I112" s="4"/>
      <c r="J112" s="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5"/>
      <c r="B113" s="5"/>
      <c r="C113" s="22"/>
      <c r="D113" s="22"/>
      <c r="E113" s="22"/>
      <c r="F113" s="22"/>
      <c r="G113" s="22"/>
      <c r="H113" s="14"/>
      <c r="I113" s="4"/>
      <c r="J113" s="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5"/>
      <c r="B114" s="5"/>
      <c r="C114" s="22"/>
      <c r="D114" s="22"/>
      <c r="E114" s="22"/>
      <c r="F114" s="22"/>
      <c r="G114" s="22"/>
      <c r="H114" s="14"/>
      <c r="I114" s="4"/>
      <c r="J114" s="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5"/>
      <c r="B115" s="5"/>
      <c r="C115" s="22"/>
      <c r="D115" s="22"/>
      <c r="E115" s="22"/>
      <c r="F115" s="22"/>
      <c r="G115" s="22"/>
      <c r="H115" s="14"/>
      <c r="I115" s="4"/>
      <c r="J115" s="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5"/>
      <c r="B116" s="5"/>
      <c r="C116" s="22"/>
      <c r="D116" s="22"/>
      <c r="E116" s="22"/>
      <c r="F116" s="22"/>
      <c r="G116" s="22"/>
      <c r="H116" s="14"/>
      <c r="I116" s="4"/>
      <c r="J116" s="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5"/>
      <c r="B117" s="5"/>
      <c r="C117" s="22"/>
      <c r="D117" s="22"/>
      <c r="E117" s="22"/>
      <c r="F117" s="22"/>
      <c r="G117" s="22"/>
      <c r="H117" s="14"/>
      <c r="I117" s="4"/>
      <c r="J117" s="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5"/>
      <c r="B118" s="5"/>
      <c r="C118" s="22"/>
      <c r="D118" s="22"/>
      <c r="E118" s="22"/>
      <c r="F118" s="22"/>
      <c r="G118" s="22"/>
      <c r="H118" s="14"/>
      <c r="I118" s="4"/>
      <c r="J118" s="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5"/>
      <c r="B119" s="5"/>
      <c r="C119" s="22"/>
      <c r="D119" s="22"/>
      <c r="E119" s="22"/>
      <c r="F119" s="22"/>
      <c r="G119" s="22"/>
      <c r="H119" s="14"/>
      <c r="I119" s="4"/>
      <c r="J119" s="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5"/>
      <c r="B120" s="5"/>
      <c r="C120" s="22"/>
      <c r="D120" s="22"/>
      <c r="E120" s="22"/>
      <c r="F120" s="22"/>
      <c r="G120" s="22"/>
      <c r="H120" s="14"/>
      <c r="I120" s="4"/>
      <c r="J120" s="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5"/>
      <c r="B121" s="5"/>
      <c r="C121" s="22"/>
      <c r="D121" s="22"/>
      <c r="E121" s="22"/>
      <c r="F121" s="22"/>
      <c r="G121" s="22"/>
      <c r="H121" s="14"/>
      <c r="I121" s="4"/>
      <c r="J121" s="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5"/>
      <c r="B122" s="5"/>
      <c r="C122" s="22"/>
      <c r="D122" s="22"/>
      <c r="E122" s="22"/>
      <c r="F122" s="22"/>
      <c r="G122" s="22"/>
      <c r="H122" s="14"/>
      <c r="I122" s="4"/>
      <c r="J122" s="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5"/>
      <c r="B123" s="5"/>
      <c r="C123" s="22"/>
      <c r="D123" s="22"/>
      <c r="E123" s="22"/>
      <c r="F123" s="22"/>
      <c r="G123" s="22"/>
      <c r="H123" s="14"/>
      <c r="I123" s="4"/>
      <c r="J123" s="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5"/>
      <c r="B124" s="5"/>
      <c r="C124" s="22"/>
      <c r="D124" s="22"/>
      <c r="E124" s="22"/>
      <c r="F124" s="22"/>
      <c r="G124" s="22"/>
      <c r="H124" s="14"/>
      <c r="I124" s="4"/>
      <c r="J124" s="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5"/>
      <c r="B125" s="5"/>
      <c r="C125" s="22"/>
      <c r="D125" s="22"/>
      <c r="E125" s="22"/>
      <c r="F125" s="22"/>
      <c r="G125" s="22"/>
      <c r="H125" s="14"/>
      <c r="I125" s="4"/>
      <c r="J125" s="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5"/>
      <c r="B126" s="5"/>
      <c r="C126" s="22"/>
      <c r="D126" s="22"/>
      <c r="E126" s="22"/>
      <c r="F126" s="22"/>
      <c r="G126" s="22"/>
      <c r="H126" s="14"/>
      <c r="I126" s="4"/>
      <c r="J126" s="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5"/>
      <c r="B127" s="5"/>
      <c r="C127" s="22"/>
      <c r="D127" s="22"/>
      <c r="E127" s="22"/>
      <c r="F127" s="22"/>
      <c r="G127" s="22"/>
      <c r="H127" s="14"/>
      <c r="I127" s="4"/>
      <c r="J127" s="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5"/>
      <c r="B128" s="5"/>
      <c r="C128" s="22"/>
      <c r="D128" s="22"/>
      <c r="E128" s="22"/>
      <c r="F128" s="22"/>
      <c r="G128" s="22"/>
      <c r="H128" s="14"/>
      <c r="I128" s="4"/>
      <c r="J128" s="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5"/>
      <c r="B129" s="5"/>
      <c r="C129" s="22"/>
      <c r="D129" s="22"/>
      <c r="E129" s="22"/>
      <c r="F129" s="22"/>
      <c r="G129" s="22"/>
      <c r="H129" s="14"/>
      <c r="I129" s="4"/>
      <c r="J129" s="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5"/>
      <c r="B130" s="5"/>
      <c r="C130" s="22"/>
      <c r="D130" s="22"/>
      <c r="E130" s="22"/>
      <c r="F130" s="22"/>
      <c r="G130" s="22"/>
      <c r="H130" s="14"/>
      <c r="I130" s="4"/>
      <c r="J130" s="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5"/>
      <c r="B131" s="5"/>
      <c r="C131" s="22"/>
      <c r="D131" s="22"/>
      <c r="E131" s="22"/>
      <c r="F131" s="22"/>
      <c r="G131" s="22"/>
      <c r="H131" s="14"/>
      <c r="I131" s="4"/>
      <c r="J131" s="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5"/>
      <c r="B132" s="5"/>
      <c r="C132" s="22"/>
      <c r="D132" s="22"/>
      <c r="E132" s="22"/>
      <c r="F132" s="22"/>
      <c r="G132" s="22"/>
      <c r="H132" s="14"/>
      <c r="I132" s="4"/>
      <c r="J132" s="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5"/>
      <c r="B133" s="5"/>
      <c r="C133" s="22"/>
      <c r="D133" s="22"/>
      <c r="E133" s="22"/>
      <c r="F133" s="22"/>
      <c r="G133" s="22"/>
      <c r="H133" s="14"/>
      <c r="I133" s="4"/>
      <c r="J133" s="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5"/>
      <c r="B134" s="5"/>
      <c r="C134" s="22"/>
      <c r="D134" s="22"/>
      <c r="E134" s="22"/>
      <c r="F134" s="22"/>
      <c r="G134" s="22"/>
      <c r="H134" s="14"/>
      <c r="I134" s="4"/>
      <c r="J134" s="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5"/>
      <c r="B135" s="5"/>
      <c r="C135" s="22"/>
      <c r="D135" s="22"/>
      <c r="E135" s="22"/>
      <c r="F135" s="22"/>
      <c r="G135" s="22"/>
      <c r="H135" s="14"/>
      <c r="I135" s="4"/>
      <c r="J135" s="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5"/>
      <c r="B136" s="5"/>
      <c r="C136" s="22"/>
      <c r="D136" s="22"/>
      <c r="E136" s="22"/>
      <c r="F136" s="22"/>
      <c r="G136" s="22"/>
      <c r="H136" s="14"/>
      <c r="I136" s="4"/>
      <c r="J136" s="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5"/>
      <c r="B137" s="5"/>
      <c r="C137" s="22"/>
      <c r="D137" s="22"/>
      <c r="E137" s="22"/>
      <c r="F137" s="22"/>
      <c r="G137" s="22"/>
      <c r="H137" s="14"/>
      <c r="I137" s="4"/>
      <c r="J137" s="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5"/>
      <c r="B138" s="5"/>
      <c r="C138" s="22"/>
      <c r="D138" s="22"/>
      <c r="E138" s="22"/>
      <c r="F138" s="22"/>
      <c r="G138" s="22"/>
      <c r="H138" s="14"/>
      <c r="I138" s="4"/>
      <c r="J138" s="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5"/>
      <c r="B139" s="5"/>
      <c r="C139" s="22"/>
      <c r="D139" s="22"/>
      <c r="E139" s="22"/>
      <c r="F139" s="22"/>
      <c r="G139" s="22"/>
      <c r="H139" s="14"/>
      <c r="I139" s="4"/>
      <c r="J139" s="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5"/>
      <c r="B140" s="5"/>
      <c r="C140" s="22"/>
      <c r="D140" s="22"/>
      <c r="E140" s="22"/>
      <c r="F140" s="22"/>
      <c r="G140" s="22"/>
      <c r="H140" s="14"/>
      <c r="I140" s="4"/>
      <c r="J140" s="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5"/>
      <c r="B141" s="5"/>
      <c r="C141" s="22"/>
      <c r="D141" s="22"/>
      <c r="E141" s="22"/>
      <c r="F141" s="22"/>
      <c r="G141" s="22"/>
      <c r="H141" s="14"/>
      <c r="I141" s="4"/>
      <c r="J141" s="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5"/>
      <c r="B142" s="5"/>
      <c r="C142" s="22"/>
      <c r="D142" s="22"/>
      <c r="E142" s="22"/>
      <c r="F142" s="22"/>
      <c r="G142" s="22"/>
      <c r="H142" s="14"/>
      <c r="I142" s="4"/>
      <c r="J142" s="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5"/>
      <c r="B143" s="5"/>
      <c r="C143" s="22"/>
      <c r="D143" s="22"/>
      <c r="E143" s="22"/>
      <c r="F143" s="22"/>
      <c r="G143" s="22"/>
      <c r="H143" s="14"/>
      <c r="I143" s="4"/>
      <c r="J143" s="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5"/>
      <c r="B144" s="5"/>
      <c r="C144" s="22"/>
      <c r="D144" s="22"/>
      <c r="E144" s="22"/>
      <c r="F144" s="22"/>
      <c r="G144" s="22"/>
      <c r="H144" s="14"/>
      <c r="I144" s="4"/>
      <c r="J144" s="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5"/>
      <c r="B145" s="5"/>
      <c r="C145" s="22"/>
      <c r="D145" s="22"/>
      <c r="E145" s="22"/>
      <c r="F145" s="22"/>
      <c r="G145" s="22"/>
      <c r="H145" s="14"/>
      <c r="I145" s="4"/>
      <c r="J145" s="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5"/>
      <c r="B146" s="5"/>
      <c r="C146" s="22"/>
      <c r="D146" s="22"/>
      <c r="E146" s="22"/>
      <c r="F146" s="22"/>
      <c r="G146" s="22"/>
      <c r="H146" s="14"/>
      <c r="I146" s="4"/>
      <c r="J146" s="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5"/>
      <c r="B147" s="5"/>
      <c r="C147" s="22"/>
      <c r="D147" s="22"/>
      <c r="E147" s="22"/>
      <c r="F147" s="22"/>
      <c r="G147" s="22"/>
      <c r="H147" s="14"/>
      <c r="I147" s="4"/>
      <c r="J147" s="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5"/>
      <c r="B148" s="5"/>
      <c r="C148" s="22"/>
      <c r="D148" s="22"/>
      <c r="E148" s="22"/>
      <c r="F148" s="22"/>
      <c r="G148" s="22"/>
      <c r="H148" s="14"/>
      <c r="I148" s="4"/>
      <c r="J148" s="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5"/>
      <c r="B149" s="5"/>
      <c r="C149" s="22"/>
      <c r="D149" s="22"/>
      <c r="E149" s="22"/>
      <c r="F149" s="22"/>
      <c r="G149" s="22"/>
      <c r="H149" s="14"/>
      <c r="I149" s="4"/>
      <c r="J149" s="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5"/>
      <c r="B150" s="5"/>
      <c r="C150" s="22"/>
      <c r="D150" s="22"/>
      <c r="E150" s="22"/>
      <c r="F150" s="22"/>
      <c r="G150" s="22"/>
      <c r="H150" s="14"/>
      <c r="I150" s="4"/>
      <c r="J150" s="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5"/>
      <c r="B151" s="5"/>
      <c r="C151" s="22"/>
      <c r="D151" s="22"/>
      <c r="E151" s="22"/>
      <c r="F151" s="22"/>
      <c r="G151" s="22"/>
      <c r="H151" s="14"/>
      <c r="I151" s="4"/>
      <c r="J151" s="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5"/>
      <c r="B152" s="5"/>
      <c r="C152" s="22"/>
      <c r="D152" s="22"/>
      <c r="E152" s="22"/>
      <c r="F152" s="22"/>
      <c r="G152" s="22"/>
      <c r="H152" s="14"/>
      <c r="I152" s="4"/>
      <c r="J152" s="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5"/>
      <c r="B153" s="5"/>
      <c r="C153" s="22"/>
      <c r="D153" s="22"/>
      <c r="E153" s="22"/>
      <c r="F153" s="22"/>
      <c r="G153" s="22"/>
      <c r="H153" s="14"/>
      <c r="I153" s="4"/>
      <c r="J153" s="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5"/>
      <c r="B154" s="5"/>
      <c r="C154" s="22"/>
      <c r="D154" s="22"/>
      <c r="E154" s="22"/>
      <c r="F154" s="22"/>
      <c r="G154" s="22"/>
      <c r="H154" s="14"/>
      <c r="I154" s="4"/>
      <c r="J154" s="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5"/>
      <c r="B155" s="5"/>
      <c r="C155" s="22"/>
      <c r="D155" s="22"/>
      <c r="E155" s="22"/>
      <c r="F155" s="22"/>
      <c r="G155" s="22"/>
      <c r="H155" s="14"/>
      <c r="I155" s="4"/>
      <c r="J155" s="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5"/>
      <c r="B156" s="5"/>
      <c r="C156" s="22"/>
      <c r="D156" s="22"/>
      <c r="E156" s="22"/>
      <c r="F156" s="22"/>
      <c r="G156" s="22"/>
      <c r="H156" s="14"/>
      <c r="I156" s="4"/>
      <c r="J156" s="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5"/>
      <c r="B157" s="5"/>
      <c r="C157" s="22"/>
      <c r="D157" s="22"/>
      <c r="E157" s="22"/>
      <c r="F157" s="22"/>
      <c r="G157" s="22"/>
      <c r="H157" s="14"/>
      <c r="I157" s="4"/>
      <c r="J157" s="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5"/>
      <c r="B158" s="5"/>
      <c r="C158" s="22"/>
      <c r="D158" s="22"/>
      <c r="E158" s="22"/>
      <c r="F158" s="22"/>
      <c r="G158" s="22"/>
      <c r="H158" s="14"/>
      <c r="I158" s="4"/>
      <c r="J158" s="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5"/>
      <c r="B159" s="5"/>
      <c r="C159" s="22"/>
      <c r="D159" s="22"/>
      <c r="E159" s="22"/>
      <c r="F159" s="22"/>
      <c r="G159" s="22"/>
      <c r="H159" s="14"/>
      <c r="I159" s="4"/>
      <c r="J159" s="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5"/>
      <c r="B160" s="5"/>
      <c r="C160" s="22"/>
      <c r="D160" s="22"/>
      <c r="E160" s="22"/>
      <c r="F160" s="22"/>
      <c r="G160" s="22"/>
      <c r="H160" s="14"/>
      <c r="I160" s="4"/>
      <c r="J160" s="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5"/>
      <c r="B161" s="5"/>
      <c r="C161" s="22"/>
      <c r="D161" s="22"/>
      <c r="E161" s="22"/>
      <c r="F161" s="22"/>
      <c r="G161" s="22"/>
      <c r="H161" s="14"/>
      <c r="I161" s="4"/>
      <c r="J161" s="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5"/>
      <c r="B162" s="5"/>
      <c r="C162" s="22"/>
      <c r="D162" s="22"/>
      <c r="E162" s="22"/>
      <c r="F162" s="22"/>
      <c r="G162" s="22"/>
      <c r="H162" s="14"/>
      <c r="I162" s="4"/>
      <c r="J162" s="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5"/>
      <c r="B163" s="5"/>
      <c r="C163" s="22"/>
      <c r="D163" s="22"/>
      <c r="E163" s="22"/>
      <c r="F163" s="22"/>
      <c r="G163" s="22"/>
      <c r="H163" s="14"/>
      <c r="I163" s="4"/>
      <c r="J163" s="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5"/>
      <c r="B164" s="5"/>
      <c r="C164" s="22"/>
      <c r="D164" s="22"/>
      <c r="E164" s="22"/>
      <c r="F164" s="22"/>
      <c r="G164" s="22"/>
      <c r="H164" s="14"/>
      <c r="I164" s="4"/>
      <c r="J164" s="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5"/>
      <c r="B165" s="5"/>
      <c r="C165" s="22"/>
      <c r="D165" s="22"/>
      <c r="E165" s="22"/>
      <c r="F165" s="22"/>
      <c r="G165" s="22"/>
      <c r="H165" s="14"/>
      <c r="I165" s="4"/>
      <c r="J165" s="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5"/>
      <c r="B166" s="5"/>
      <c r="C166" s="22"/>
      <c r="D166" s="22"/>
      <c r="E166" s="22"/>
      <c r="F166" s="22"/>
      <c r="G166" s="22"/>
      <c r="H166" s="14"/>
      <c r="I166" s="4"/>
      <c r="J166" s="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5"/>
      <c r="B167" s="5"/>
      <c r="C167" s="22"/>
      <c r="D167" s="22"/>
      <c r="E167" s="22"/>
      <c r="F167" s="22"/>
      <c r="G167" s="22"/>
      <c r="H167" s="14"/>
      <c r="I167" s="4"/>
      <c r="J167" s="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5"/>
      <c r="B168" s="5"/>
      <c r="C168" s="22"/>
      <c r="D168" s="22"/>
      <c r="E168" s="22"/>
      <c r="F168" s="22"/>
      <c r="G168" s="22"/>
      <c r="H168" s="14"/>
      <c r="I168" s="4"/>
      <c r="J168" s="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5"/>
      <c r="B169" s="5"/>
      <c r="C169" s="22"/>
      <c r="D169" s="22"/>
      <c r="E169" s="22"/>
      <c r="F169" s="22"/>
      <c r="G169" s="22"/>
      <c r="H169" s="14"/>
      <c r="I169" s="4"/>
      <c r="J169" s="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5"/>
      <c r="B170" s="5"/>
      <c r="C170" s="22"/>
      <c r="D170" s="22"/>
      <c r="E170" s="22"/>
      <c r="F170" s="22"/>
      <c r="G170" s="22"/>
      <c r="H170" s="14"/>
      <c r="I170" s="4"/>
      <c r="J170" s="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5"/>
      <c r="B171" s="5"/>
      <c r="C171" s="22"/>
      <c r="D171" s="22"/>
      <c r="E171" s="22"/>
      <c r="F171" s="22"/>
      <c r="G171" s="22"/>
      <c r="H171" s="14"/>
      <c r="I171" s="4"/>
      <c r="J171" s="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5"/>
      <c r="B172" s="5"/>
      <c r="C172" s="22"/>
      <c r="D172" s="22"/>
      <c r="E172" s="22"/>
      <c r="F172" s="22"/>
      <c r="G172" s="22"/>
      <c r="H172" s="14"/>
      <c r="I172" s="4"/>
      <c r="J172" s="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5"/>
      <c r="B173" s="5"/>
      <c r="C173" s="22"/>
      <c r="D173" s="22"/>
      <c r="E173" s="22"/>
      <c r="F173" s="22"/>
      <c r="G173" s="22"/>
      <c r="H173" s="14"/>
      <c r="I173" s="4"/>
      <c r="J173" s="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5"/>
      <c r="B174" s="5"/>
      <c r="C174" s="22"/>
      <c r="D174" s="22"/>
      <c r="E174" s="22"/>
      <c r="F174" s="22"/>
      <c r="G174" s="22"/>
      <c r="H174" s="14"/>
      <c r="I174" s="4"/>
      <c r="J174" s="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5"/>
      <c r="B175" s="5"/>
      <c r="C175" s="22"/>
      <c r="D175" s="22"/>
      <c r="E175" s="22"/>
      <c r="F175" s="22"/>
      <c r="G175" s="22"/>
      <c r="H175" s="14"/>
      <c r="I175" s="4"/>
      <c r="J175" s="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5"/>
      <c r="B176" s="5"/>
      <c r="C176" s="22"/>
      <c r="D176" s="22"/>
      <c r="E176" s="22"/>
      <c r="F176" s="22"/>
      <c r="G176" s="22"/>
      <c r="H176" s="14"/>
      <c r="I176" s="4"/>
      <c r="J176" s="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5"/>
      <c r="B177" s="5"/>
      <c r="C177" s="22"/>
      <c r="D177" s="22"/>
      <c r="E177" s="22"/>
      <c r="F177" s="22"/>
      <c r="G177" s="22"/>
      <c r="H177" s="14"/>
      <c r="I177" s="4"/>
      <c r="J177" s="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5"/>
      <c r="B178" s="5"/>
      <c r="C178" s="22"/>
      <c r="D178" s="22"/>
      <c r="E178" s="22"/>
      <c r="F178" s="22"/>
      <c r="G178" s="22"/>
      <c r="H178" s="14"/>
      <c r="I178" s="4"/>
      <c r="J178" s="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5"/>
      <c r="B179" s="5"/>
      <c r="C179" s="22"/>
      <c r="D179" s="22"/>
      <c r="E179" s="22"/>
      <c r="F179" s="22"/>
      <c r="G179" s="22"/>
      <c r="H179" s="14"/>
      <c r="I179" s="4"/>
      <c r="J179" s="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5"/>
      <c r="B180" s="5"/>
      <c r="C180" s="22"/>
      <c r="D180" s="22"/>
      <c r="E180" s="22"/>
      <c r="F180" s="22"/>
      <c r="G180" s="22"/>
      <c r="H180" s="14"/>
      <c r="I180" s="4"/>
      <c r="J180" s="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5"/>
      <c r="B181" s="5"/>
      <c r="C181" s="22"/>
      <c r="D181" s="22"/>
      <c r="E181" s="22"/>
      <c r="F181" s="22"/>
      <c r="G181" s="22"/>
      <c r="H181" s="14"/>
      <c r="I181" s="4"/>
      <c r="J181" s="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5"/>
      <c r="B182" s="5"/>
      <c r="C182" s="22"/>
      <c r="D182" s="22"/>
      <c r="E182" s="22"/>
      <c r="F182" s="22"/>
      <c r="G182" s="22"/>
      <c r="H182" s="14"/>
      <c r="I182" s="4"/>
      <c r="J182" s="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5"/>
      <c r="B183" s="5"/>
      <c r="C183" s="22"/>
      <c r="D183" s="22"/>
      <c r="E183" s="22"/>
      <c r="F183" s="22"/>
      <c r="G183" s="22"/>
      <c r="H183" s="14"/>
      <c r="I183" s="4"/>
      <c r="J183" s="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5"/>
      <c r="B184" s="5"/>
      <c r="C184" s="22"/>
      <c r="D184" s="22"/>
      <c r="E184" s="22"/>
      <c r="F184" s="22"/>
      <c r="G184" s="22"/>
      <c r="H184" s="14"/>
      <c r="I184" s="4"/>
      <c r="J184" s="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5"/>
      <c r="B185" s="5"/>
      <c r="C185" s="22"/>
      <c r="D185" s="22"/>
      <c r="E185" s="22"/>
      <c r="F185" s="22"/>
      <c r="G185" s="22"/>
      <c r="H185" s="14"/>
      <c r="I185" s="4"/>
      <c r="J185" s="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5"/>
      <c r="B186" s="5"/>
      <c r="C186" s="22"/>
      <c r="D186" s="22"/>
      <c r="E186" s="22"/>
      <c r="F186" s="22"/>
      <c r="G186" s="22"/>
      <c r="H186" s="14"/>
      <c r="I186" s="4"/>
      <c r="J186" s="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5"/>
      <c r="B187" s="5"/>
      <c r="C187" s="22"/>
      <c r="D187" s="22"/>
      <c r="E187" s="22"/>
      <c r="F187" s="22"/>
      <c r="G187" s="22"/>
      <c r="H187" s="14"/>
      <c r="I187" s="4"/>
      <c r="J187" s="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5"/>
      <c r="B188" s="5"/>
      <c r="C188" s="22"/>
      <c r="D188" s="22"/>
      <c r="E188" s="22"/>
      <c r="F188" s="22"/>
      <c r="G188" s="22"/>
      <c r="H188" s="14"/>
      <c r="I188" s="4"/>
      <c r="J188" s="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5"/>
      <c r="B189" s="5"/>
      <c r="C189" s="22"/>
      <c r="D189" s="22"/>
      <c r="E189" s="22"/>
      <c r="F189" s="22"/>
      <c r="G189" s="22"/>
      <c r="H189" s="14"/>
      <c r="I189" s="4"/>
      <c r="J189" s="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5"/>
      <c r="B190" s="5"/>
      <c r="C190" s="22"/>
      <c r="D190" s="22"/>
      <c r="E190" s="22"/>
      <c r="F190" s="22"/>
      <c r="G190" s="22"/>
      <c r="H190" s="14"/>
      <c r="I190" s="4"/>
      <c r="J190" s="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5"/>
      <c r="B191" s="5"/>
      <c r="C191" s="22"/>
      <c r="D191" s="22"/>
      <c r="E191" s="22"/>
      <c r="F191" s="22"/>
      <c r="G191" s="22"/>
      <c r="H191" s="14"/>
      <c r="I191" s="4"/>
      <c r="J191" s="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5"/>
      <c r="B192" s="5"/>
      <c r="C192" s="22"/>
      <c r="D192" s="22"/>
      <c r="E192" s="22"/>
      <c r="F192" s="22"/>
      <c r="G192" s="22"/>
      <c r="H192" s="14"/>
      <c r="I192" s="4"/>
      <c r="J192" s="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5"/>
      <c r="B193" s="5"/>
      <c r="C193" s="22"/>
      <c r="D193" s="22"/>
      <c r="E193" s="22"/>
      <c r="F193" s="22"/>
      <c r="G193" s="22"/>
      <c r="H193" s="14"/>
      <c r="I193" s="4"/>
      <c r="J193" s="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5"/>
      <c r="B194" s="5"/>
      <c r="C194" s="22"/>
      <c r="D194" s="22"/>
      <c r="E194" s="22"/>
      <c r="F194" s="22"/>
      <c r="G194" s="22"/>
      <c r="H194" s="14"/>
      <c r="I194" s="4"/>
      <c r="J194" s="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5"/>
      <c r="B195" s="5"/>
      <c r="C195" s="22"/>
      <c r="D195" s="22"/>
      <c r="E195" s="22"/>
      <c r="F195" s="22"/>
      <c r="G195" s="22"/>
      <c r="H195" s="14"/>
      <c r="I195" s="4"/>
      <c r="J195" s="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5"/>
      <c r="B196" s="5"/>
      <c r="C196" s="22"/>
      <c r="D196" s="22"/>
      <c r="E196" s="22"/>
      <c r="F196" s="22"/>
      <c r="G196" s="22"/>
      <c r="H196" s="14"/>
      <c r="I196" s="4"/>
      <c r="J196" s="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5"/>
      <c r="B197" s="5"/>
      <c r="C197" s="22"/>
      <c r="D197" s="22"/>
      <c r="E197" s="22"/>
      <c r="F197" s="22"/>
      <c r="G197" s="22"/>
      <c r="H197" s="14"/>
      <c r="I197" s="4"/>
      <c r="J197" s="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5"/>
      <c r="B198" s="5"/>
      <c r="C198" s="22"/>
      <c r="D198" s="22"/>
      <c r="E198" s="22"/>
      <c r="F198" s="22"/>
      <c r="G198" s="22"/>
      <c r="H198" s="14"/>
      <c r="I198" s="4"/>
      <c r="J198" s="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5"/>
      <c r="B199" s="5"/>
      <c r="C199" s="22"/>
      <c r="D199" s="22"/>
      <c r="E199" s="22"/>
      <c r="F199" s="22"/>
      <c r="G199" s="22"/>
      <c r="H199" s="14"/>
      <c r="I199" s="4"/>
      <c r="J199" s="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5"/>
      <c r="B200" s="5"/>
      <c r="C200" s="22"/>
      <c r="D200" s="22"/>
      <c r="E200" s="22"/>
      <c r="F200" s="22"/>
      <c r="G200" s="22"/>
      <c r="H200" s="14"/>
      <c r="I200" s="4"/>
      <c r="J200" s="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5"/>
      <c r="B201" s="5"/>
      <c r="C201" s="22"/>
      <c r="D201" s="22"/>
      <c r="E201" s="22"/>
      <c r="F201" s="22"/>
      <c r="G201" s="22"/>
      <c r="H201" s="14"/>
      <c r="I201" s="4"/>
      <c r="J201" s="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5"/>
      <c r="B202" s="5"/>
      <c r="C202" s="22"/>
      <c r="D202" s="22"/>
      <c r="E202" s="22"/>
      <c r="F202" s="22"/>
      <c r="G202" s="22"/>
      <c r="H202" s="14"/>
      <c r="I202" s="4"/>
      <c r="J202" s="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5"/>
      <c r="B203" s="5"/>
      <c r="C203" s="22"/>
      <c r="D203" s="22"/>
      <c r="E203" s="22"/>
      <c r="F203" s="22"/>
      <c r="G203" s="22"/>
      <c r="H203" s="14"/>
      <c r="I203" s="4"/>
      <c r="J203" s="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5"/>
      <c r="B204" s="5"/>
      <c r="C204" s="22"/>
      <c r="D204" s="22"/>
      <c r="E204" s="22"/>
      <c r="F204" s="22"/>
      <c r="G204" s="22"/>
      <c r="H204" s="14"/>
      <c r="I204" s="4"/>
      <c r="J204" s="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5"/>
      <c r="B205" s="5"/>
      <c r="C205" s="22"/>
      <c r="D205" s="22"/>
      <c r="E205" s="22"/>
      <c r="F205" s="22"/>
      <c r="G205" s="22"/>
      <c r="H205" s="14"/>
      <c r="I205" s="4"/>
      <c r="J205" s="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5"/>
      <c r="B206" s="5"/>
      <c r="C206" s="22"/>
      <c r="D206" s="22"/>
      <c r="E206" s="22"/>
      <c r="F206" s="22"/>
      <c r="G206" s="22"/>
      <c r="H206" s="14"/>
      <c r="I206" s="4"/>
      <c r="J206" s="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5"/>
      <c r="B207" s="5"/>
      <c r="C207" s="22"/>
      <c r="D207" s="22"/>
      <c r="E207" s="22"/>
      <c r="F207" s="22"/>
      <c r="G207" s="22"/>
      <c r="H207" s="14"/>
      <c r="I207" s="4"/>
      <c r="J207" s="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5"/>
      <c r="B208" s="5"/>
      <c r="C208" s="22"/>
      <c r="D208" s="22"/>
      <c r="E208" s="22"/>
      <c r="F208" s="22"/>
      <c r="G208" s="22"/>
      <c r="H208" s="14"/>
      <c r="I208" s="4"/>
      <c r="J208" s="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5"/>
      <c r="B209" s="5"/>
      <c r="C209" s="22"/>
      <c r="D209" s="22"/>
      <c r="E209" s="22"/>
      <c r="F209" s="22"/>
      <c r="G209" s="22"/>
      <c r="H209" s="14"/>
      <c r="I209" s="4"/>
      <c r="J209" s="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5"/>
      <c r="B210" s="5"/>
      <c r="C210" s="22"/>
      <c r="D210" s="22"/>
      <c r="E210" s="22"/>
      <c r="F210" s="22"/>
      <c r="G210" s="22"/>
      <c r="H210" s="14"/>
      <c r="I210" s="4"/>
      <c r="J210" s="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5"/>
      <c r="B211" s="5"/>
      <c r="C211" s="22"/>
      <c r="D211" s="22"/>
      <c r="E211" s="22"/>
      <c r="F211" s="22"/>
      <c r="G211" s="22"/>
      <c r="H211" s="14"/>
      <c r="I211" s="4"/>
      <c r="J211" s="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5"/>
      <c r="B212" s="5"/>
      <c r="C212" s="22"/>
      <c r="D212" s="22"/>
      <c r="E212" s="22"/>
      <c r="F212" s="22"/>
      <c r="G212" s="22"/>
      <c r="H212" s="14"/>
      <c r="I212" s="4"/>
      <c r="J212" s="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5"/>
      <c r="B213" s="5"/>
      <c r="C213" s="22"/>
      <c r="D213" s="22"/>
      <c r="E213" s="22"/>
      <c r="F213" s="22"/>
      <c r="G213" s="22"/>
      <c r="H213" s="14"/>
      <c r="I213" s="4"/>
      <c r="J213" s="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5"/>
      <c r="B214" s="5"/>
      <c r="C214" s="22"/>
      <c r="D214" s="22"/>
      <c r="E214" s="22"/>
      <c r="F214" s="22"/>
      <c r="G214" s="22"/>
      <c r="H214" s="14"/>
      <c r="I214" s="4"/>
      <c r="J214" s="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5"/>
      <c r="B215" s="5"/>
      <c r="C215" s="22"/>
      <c r="D215" s="22"/>
      <c r="E215" s="22"/>
      <c r="F215" s="22"/>
      <c r="G215" s="22"/>
      <c r="H215" s="14"/>
      <c r="I215" s="4"/>
      <c r="J215" s="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5"/>
      <c r="B216" s="5"/>
      <c r="C216" s="22"/>
      <c r="D216" s="22"/>
      <c r="E216" s="22"/>
      <c r="F216" s="22"/>
      <c r="G216" s="22"/>
      <c r="H216" s="14"/>
      <c r="I216" s="4"/>
      <c r="J216" s="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5"/>
      <c r="B217" s="5"/>
      <c r="C217" s="22"/>
      <c r="D217" s="22"/>
      <c r="E217" s="22"/>
      <c r="F217" s="22"/>
      <c r="G217" s="22"/>
      <c r="H217" s="14"/>
      <c r="I217" s="4"/>
      <c r="J217" s="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5"/>
      <c r="B218" s="5"/>
      <c r="C218" s="22"/>
      <c r="D218" s="22"/>
      <c r="E218" s="22"/>
      <c r="F218" s="22"/>
      <c r="G218" s="22"/>
      <c r="H218" s="14"/>
      <c r="I218" s="4"/>
      <c r="J218" s="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5"/>
      <c r="B219" s="5"/>
      <c r="C219" s="22"/>
      <c r="D219" s="22"/>
      <c r="E219" s="22"/>
      <c r="F219" s="22"/>
      <c r="G219" s="22"/>
      <c r="H219" s="14"/>
      <c r="I219" s="4"/>
      <c r="J219" s="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5"/>
      <c r="B220" s="5"/>
      <c r="C220" s="22"/>
      <c r="D220" s="22"/>
      <c r="E220" s="22"/>
      <c r="F220" s="22"/>
      <c r="G220" s="22"/>
      <c r="H220" s="14"/>
      <c r="I220" s="4"/>
      <c r="J220" s="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5"/>
      <c r="B221" s="5"/>
      <c r="C221" s="22"/>
      <c r="D221" s="22"/>
      <c r="E221" s="22"/>
      <c r="F221" s="22"/>
      <c r="G221" s="22"/>
      <c r="H221" s="14"/>
      <c r="I221" s="4"/>
      <c r="J221" s="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5"/>
      <c r="B222" s="5"/>
      <c r="C222" s="22"/>
      <c r="D222" s="22"/>
      <c r="E222" s="22"/>
      <c r="F222" s="22"/>
      <c r="G222" s="22"/>
      <c r="H222" s="14"/>
      <c r="I222" s="4"/>
      <c r="J222" s="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5"/>
      <c r="B223" s="5"/>
      <c r="C223" s="22"/>
      <c r="D223" s="22"/>
      <c r="E223" s="22"/>
      <c r="F223" s="22"/>
      <c r="G223" s="22"/>
      <c r="H223" s="14"/>
      <c r="I223" s="4"/>
      <c r="J223" s="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5"/>
      <c r="B224" s="5"/>
      <c r="C224" s="22"/>
      <c r="D224" s="22"/>
      <c r="E224" s="22"/>
      <c r="F224" s="22"/>
      <c r="G224" s="22"/>
      <c r="H224" s="14"/>
      <c r="I224" s="4"/>
      <c r="J224" s="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5"/>
      <c r="B225" s="5"/>
      <c r="C225" s="22"/>
      <c r="D225" s="22"/>
      <c r="E225" s="22"/>
      <c r="F225" s="22"/>
      <c r="G225" s="22"/>
      <c r="H225" s="14"/>
      <c r="I225" s="4"/>
      <c r="J225" s="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5"/>
      <c r="B226" s="5"/>
      <c r="C226" s="22"/>
      <c r="D226" s="22"/>
      <c r="E226" s="22"/>
      <c r="F226" s="22"/>
      <c r="G226" s="22"/>
      <c r="H226" s="14"/>
      <c r="I226" s="4"/>
      <c r="J226" s="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5"/>
      <c r="B227" s="5"/>
      <c r="C227" s="22"/>
      <c r="D227" s="22"/>
      <c r="E227" s="22"/>
      <c r="F227" s="22"/>
      <c r="G227" s="22"/>
      <c r="H227" s="14"/>
      <c r="I227" s="4"/>
      <c r="J227" s="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5"/>
      <c r="B228" s="5"/>
      <c r="C228" s="22"/>
      <c r="D228" s="22"/>
      <c r="E228" s="22"/>
      <c r="F228" s="22"/>
      <c r="G228" s="22"/>
      <c r="H228" s="14"/>
      <c r="I228" s="4"/>
      <c r="J228" s="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5"/>
      <c r="B229" s="5"/>
      <c r="C229" s="22"/>
      <c r="D229" s="22"/>
      <c r="E229" s="22"/>
      <c r="F229" s="22"/>
      <c r="G229" s="22"/>
      <c r="H229" s="14"/>
      <c r="I229" s="4"/>
      <c r="J229" s="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5"/>
      <c r="B230" s="5"/>
      <c r="C230" s="22"/>
      <c r="D230" s="22"/>
      <c r="E230" s="22"/>
      <c r="F230" s="22"/>
      <c r="G230" s="22"/>
      <c r="H230" s="14"/>
      <c r="I230" s="4"/>
      <c r="J230" s="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5"/>
      <c r="B231" s="5"/>
      <c r="C231" s="22"/>
      <c r="D231" s="22"/>
      <c r="E231" s="22"/>
      <c r="F231" s="22"/>
      <c r="G231" s="22"/>
      <c r="H231" s="14"/>
      <c r="I231" s="4"/>
      <c r="J231" s="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5"/>
      <c r="B232" s="5"/>
      <c r="C232" s="22"/>
      <c r="D232" s="22"/>
      <c r="E232" s="22"/>
      <c r="F232" s="22"/>
      <c r="G232" s="22"/>
      <c r="H232" s="14"/>
      <c r="I232" s="4"/>
      <c r="J232" s="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5"/>
      <c r="B233" s="5"/>
      <c r="C233" s="22"/>
      <c r="D233" s="22"/>
      <c r="E233" s="22"/>
      <c r="F233" s="22"/>
      <c r="G233" s="22"/>
      <c r="H233" s="14"/>
      <c r="I233" s="4"/>
      <c r="J233" s="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5"/>
      <c r="B234" s="5"/>
      <c r="C234" s="22"/>
      <c r="D234" s="22"/>
      <c r="E234" s="22"/>
      <c r="F234" s="22"/>
      <c r="G234" s="22"/>
      <c r="H234" s="14"/>
      <c r="I234" s="4"/>
      <c r="J234" s="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5"/>
      <c r="B235" s="5"/>
      <c r="C235" s="22"/>
      <c r="D235" s="22"/>
      <c r="E235" s="22"/>
      <c r="F235" s="22"/>
      <c r="G235" s="22"/>
      <c r="H235" s="14"/>
      <c r="I235" s="4"/>
      <c r="J235" s="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5"/>
      <c r="B236" s="5"/>
      <c r="C236" s="22"/>
      <c r="D236" s="22"/>
      <c r="E236" s="22"/>
      <c r="F236" s="22"/>
      <c r="G236" s="22"/>
      <c r="H236" s="14"/>
      <c r="I236" s="4"/>
      <c r="J236" s="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14:G14"/>
    <mergeCell ref="A24:G24"/>
    <mergeCell ref="A27:G27"/>
  </mergeCells>
  <printOptions horizontalCentered="1"/>
  <pageMargins bottom="0.75" footer="0.0" header="0.0" left="0.25" right="0.25" top="0.75"/>
  <pageSetup paperSize="8" scale="150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11.75"/>
    <col customWidth="1" min="3" max="7" width="19.5"/>
    <col customWidth="1" min="8" max="8" width="51.63"/>
    <col customWidth="1" min="9" max="27" width="18.75"/>
  </cols>
  <sheetData>
    <row r="1" ht="35.25" customHeight="1">
      <c r="A1" s="77" t="s">
        <v>46</v>
      </c>
      <c r="B1" s="2"/>
      <c r="C1" s="2"/>
      <c r="D1" s="2"/>
      <c r="E1" s="2"/>
      <c r="F1" s="2"/>
      <c r="G1" s="2"/>
      <c r="H1" s="3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10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60.75" customHeight="1">
      <c r="A3" s="78">
        <v>0.7847222222222222</v>
      </c>
      <c r="B3" s="79">
        <v>0.8090277777777778</v>
      </c>
      <c r="C3" s="59" t="s">
        <v>48</v>
      </c>
      <c r="D3" s="60" t="s">
        <v>21</v>
      </c>
      <c r="E3" s="62" t="s">
        <v>10</v>
      </c>
      <c r="F3" s="59" t="s">
        <v>50</v>
      </c>
      <c r="G3" s="59" t="s">
        <v>51</v>
      </c>
      <c r="H3" s="14"/>
      <c r="I3" s="15">
        <v>0.020833333333333332</v>
      </c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9.25" customHeight="1">
      <c r="A4" s="80">
        <v>0.8090277777777778</v>
      </c>
      <c r="B4" s="81">
        <v>0.8333333333333334</v>
      </c>
      <c r="C4" s="59" t="s">
        <v>48</v>
      </c>
      <c r="D4" s="59" t="s">
        <v>51</v>
      </c>
      <c r="E4" s="62" t="s">
        <v>10</v>
      </c>
      <c r="F4" s="59" t="s">
        <v>50</v>
      </c>
      <c r="G4" s="59" t="s">
        <v>51</v>
      </c>
      <c r="H4" s="17"/>
      <c r="I4" s="15">
        <v>0.020833333333333332</v>
      </c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46.5" customHeight="1">
      <c r="A5" s="80">
        <v>0.8333333333333334</v>
      </c>
      <c r="B5" s="81">
        <v>0.8576388888888888</v>
      </c>
      <c r="C5" s="59" t="s">
        <v>52</v>
      </c>
      <c r="D5" s="59" t="s">
        <v>51</v>
      </c>
      <c r="E5" s="62" t="s">
        <v>10</v>
      </c>
      <c r="F5" s="59" t="s">
        <v>69</v>
      </c>
      <c r="G5" s="59" t="s">
        <v>51</v>
      </c>
      <c r="H5" s="17"/>
      <c r="I5" s="15">
        <v>0.020833333333333332</v>
      </c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63.75" customHeight="1">
      <c r="A6" s="80">
        <v>0.8576388888888888</v>
      </c>
      <c r="B6" s="81">
        <v>0.8819444444444444</v>
      </c>
      <c r="C6" s="59" t="s">
        <v>52</v>
      </c>
      <c r="D6" s="69" t="s">
        <v>70</v>
      </c>
      <c r="E6" s="62" t="s">
        <v>15</v>
      </c>
      <c r="F6" s="62" t="s">
        <v>17</v>
      </c>
      <c r="G6" s="68" t="s">
        <v>13</v>
      </c>
      <c r="H6" s="17"/>
      <c r="I6" s="15">
        <v>0.020833333333333332</v>
      </c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71.25" customHeight="1">
      <c r="A7" s="80">
        <v>0.8819444444444444</v>
      </c>
      <c r="B7" s="81">
        <v>0.90625</v>
      </c>
      <c r="C7" s="62" t="s">
        <v>8</v>
      </c>
      <c r="D7" s="69" t="s">
        <v>70</v>
      </c>
      <c r="E7" s="62" t="s">
        <v>15</v>
      </c>
      <c r="F7" s="62" t="s">
        <v>17</v>
      </c>
      <c r="G7" s="68" t="s">
        <v>13</v>
      </c>
      <c r="H7" s="17"/>
      <c r="I7" s="15">
        <v>0.020833333333333332</v>
      </c>
      <c r="J7" s="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52.5" customHeight="1">
      <c r="A8" s="80">
        <v>0.90625</v>
      </c>
      <c r="B8" s="81">
        <v>0.9305555555555556</v>
      </c>
      <c r="C8" s="60" t="s">
        <v>21</v>
      </c>
      <c r="D8" s="62" t="s">
        <v>18</v>
      </c>
      <c r="E8" s="62" t="s">
        <v>15</v>
      </c>
      <c r="F8" s="62" t="s">
        <v>17</v>
      </c>
      <c r="G8" s="60" t="s">
        <v>21</v>
      </c>
      <c r="H8" s="17"/>
      <c r="I8" s="15">
        <v>0.020833333333333332</v>
      </c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52.5" customHeight="1">
      <c r="A9" s="80">
        <v>0.9305555555555556</v>
      </c>
      <c r="B9" s="81">
        <v>0.9548611111111112</v>
      </c>
      <c r="C9" s="60" t="s">
        <v>21</v>
      </c>
      <c r="D9" s="62" t="s">
        <v>18</v>
      </c>
      <c r="E9" s="60" t="s">
        <v>21</v>
      </c>
      <c r="F9" s="60" t="s">
        <v>21</v>
      </c>
      <c r="G9" s="60" t="s">
        <v>21</v>
      </c>
      <c r="H9" s="14"/>
      <c r="I9" s="15">
        <v>0.020833333333333332</v>
      </c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5"/>
      <c r="B10" s="5"/>
      <c r="C10" s="22"/>
      <c r="D10" s="24"/>
      <c r="E10" s="22"/>
      <c r="F10" s="22"/>
      <c r="G10" s="22"/>
      <c r="H10" s="14"/>
      <c r="I10" s="4"/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5"/>
      <c r="B11" s="5"/>
      <c r="C11" s="22"/>
      <c r="D11" s="22"/>
      <c r="E11" s="22"/>
      <c r="F11" s="22"/>
      <c r="G11" s="22"/>
      <c r="H11" s="14"/>
      <c r="I11" s="4"/>
      <c r="J11" s="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50.25" customHeight="1">
      <c r="A12" s="5"/>
      <c r="B12" s="25"/>
      <c r="C12" s="26"/>
      <c r="D12" s="26"/>
      <c r="E12" s="26"/>
      <c r="F12" s="26"/>
      <c r="G12" s="26"/>
      <c r="H12" s="14"/>
      <c r="I12" s="4"/>
      <c r="J12" s="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7.0" customHeight="1">
      <c r="A13" s="82" t="s">
        <v>19</v>
      </c>
      <c r="B13" s="2"/>
      <c r="C13" s="2"/>
      <c r="D13" s="2"/>
      <c r="E13" s="2"/>
      <c r="F13" s="2"/>
      <c r="G13" s="28"/>
      <c r="H13" s="29"/>
      <c r="I13" s="4"/>
      <c r="J13" s="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30" t="s">
        <v>1</v>
      </c>
      <c r="B14" s="31" t="s">
        <v>2</v>
      </c>
      <c r="C14" s="32" t="s">
        <v>3</v>
      </c>
      <c r="D14" s="32" t="s">
        <v>4</v>
      </c>
      <c r="E14" s="32" t="s">
        <v>5</v>
      </c>
      <c r="F14" s="32" t="s">
        <v>6</v>
      </c>
      <c r="G14" s="25" t="s">
        <v>7</v>
      </c>
      <c r="H14" s="33"/>
      <c r="I14" s="4"/>
      <c r="J14" s="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46.5" customHeight="1">
      <c r="A15" s="83">
        <v>0.7847222222222222</v>
      </c>
      <c r="B15" s="84">
        <v>0.8090277777777778</v>
      </c>
      <c r="C15" s="64" t="s">
        <v>20</v>
      </c>
      <c r="D15" s="59" t="s">
        <v>48</v>
      </c>
      <c r="E15" s="85" t="s">
        <v>22</v>
      </c>
      <c r="F15" s="62" t="s">
        <v>23</v>
      </c>
      <c r="G15" s="68" t="s">
        <v>31</v>
      </c>
      <c r="H15" s="14"/>
      <c r="I15" s="15"/>
      <c r="J15" s="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45.75" customHeight="1">
      <c r="A16" s="80">
        <v>0.8090277777777778</v>
      </c>
      <c r="B16" s="81">
        <v>0.8333333333333334</v>
      </c>
      <c r="C16" s="64" t="s">
        <v>20</v>
      </c>
      <c r="D16" s="59" t="s">
        <v>48</v>
      </c>
      <c r="E16" s="85" t="s">
        <v>24</v>
      </c>
      <c r="F16" s="62" t="s">
        <v>23</v>
      </c>
      <c r="G16" s="68" t="s">
        <v>31</v>
      </c>
      <c r="H16" s="17"/>
      <c r="I16" s="15"/>
      <c r="J16" s="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47.25" customHeight="1">
      <c r="A17" s="80">
        <v>0.8333333333333334</v>
      </c>
      <c r="B17" s="81">
        <v>0.8576388888888888</v>
      </c>
      <c r="C17" s="64" t="s">
        <v>20</v>
      </c>
      <c r="D17" s="62" t="s">
        <v>26</v>
      </c>
      <c r="E17" s="85" t="s">
        <v>24</v>
      </c>
      <c r="F17" s="62" t="s">
        <v>23</v>
      </c>
      <c r="G17" s="68" t="s">
        <v>31</v>
      </c>
      <c r="H17" s="17"/>
      <c r="I17" s="15"/>
      <c r="J17" s="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78.0" customHeight="1">
      <c r="A18" s="80">
        <v>0.8576388888888888</v>
      </c>
      <c r="B18" s="81">
        <v>0.8819444444444444</v>
      </c>
      <c r="C18" s="64" t="s">
        <v>20</v>
      </c>
      <c r="D18" s="62" t="s">
        <v>26</v>
      </c>
      <c r="E18" s="62" t="s">
        <v>27</v>
      </c>
      <c r="F18" s="69" t="s">
        <v>71</v>
      </c>
      <c r="G18" s="59" t="s">
        <v>51</v>
      </c>
      <c r="H18" s="17"/>
      <c r="I18" s="15"/>
      <c r="J18" s="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61.5" customHeight="1">
      <c r="A19" s="80">
        <v>0.8819444444444444</v>
      </c>
      <c r="B19" s="81">
        <v>0.90625</v>
      </c>
      <c r="C19" s="62" t="s">
        <v>29</v>
      </c>
      <c r="D19" s="62" t="s">
        <v>26</v>
      </c>
      <c r="E19" s="62" t="s">
        <v>27</v>
      </c>
      <c r="F19" s="69" t="s">
        <v>72</v>
      </c>
      <c r="G19" s="59" t="s">
        <v>51</v>
      </c>
      <c r="H19" s="17"/>
      <c r="I19" s="15"/>
      <c r="J19" s="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61.5" customHeight="1">
      <c r="A20" s="80">
        <v>0.90625</v>
      </c>
      <c r="B20" s="81">
        <v>0.9305555555555556</v>
      </c>
      <c r="C20" s="62" t="s">
        <v>29</v>
      </c>
      <c r="D20" s="60" t="s">
        <v>21</v>
      </c>
      <c r="E20" s="62" t="s">
        <v>27</v>
      </c>
      <c r="F20" s="60" t="s">
        <v>21</v>
      </c>
      <c r="G20" s="59" t="s">
        <v>51</v>
      </c>
      <c r="H20" s="14"/>
      <c r="I20" s="15"/>
      <c r="J20" s="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61.5" customHeight="1">
      <c r="A21" s="80">
        <v>0.9305555555555556</v>
      </c>
      <c r="B21" s="81">
        <v>0.9548611111111112</v>
      </c>
      <c r="C21" s="62" t="s">
        <v>29</v>
      </c>
      <c r="D21" s="60" t="s">
        <v>21</v>
      </c>
      <c r="E21" s="60" t="s">
        <v>21</v>
      </c>
      <c r="F21" s="60" t="s">
        <v>21</v>
      </c>
      <c r="G21" s="60" t="s">
        <v>21</v>
      </c>
      <c r="H21" s="14"/>
      <c r="I21" s="15"/>
      <c r="J21" s="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3"/>
      <c r="H22" s="29"/>
      <c r="I22" s="4"/>
      <c r="J22" s="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39.0" customHeight="1">
      <c r="A23" s="5"/>
      <c r="B23" s="5"/>
      <c r="C23" s="5"/>
      <c r="D23" s="5"/>
      <c r="E23" s="5"/>
      <c r="F23" s="5"/>
      <c r="G23" s="5"/>
      <c r="H23" s="33"/>
      <c r="I23" s="4"/>
      <c r="J23" s="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4"/>
      <c r="B24" s="45"/>
      <c r="C24" s="4"/>
      <c r="D24" s="46"/>
      <c r="E24" s="4"/>
      <c r="F24" s="46"/>
      <c r="G24" s="4"/>
      <c r="H24" s="47"/>
      <c r="I24" s="4"/>
      <c r="J24" s="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7.0" customHeight="1">
      <c r="A25" s="27" t="s">
        <v>33</v>
      </c>
      <c r="B25" s="2"/>
      <c r="C25" s="2"/>
      <c r="D25" s="2"/>
      <c r="E25" s="2"/>
      <c r="F25" s="2"/>
      <c r="G25" s="28"/>
      <c r="H25" s="33"/>
      <c r="I25" s="4"/>
      <c r="J25" s="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37" t="s">
        <v>1</v>
      </c>
      <c r="B26" s="16" t="s">
        <v>2</v>
      </c>
      <c r="C26" s="12" t="s">
        <v>3</v>
      </c>
      <c r="D26" s="12" t="s">
        <v>4</v>
      </c>
      <c r="E26" s="12" t="s">
        <v>5</v>
      </c>
      <c r="F26" s="12" t="s">
        <v>6</v>
      </c>
      <c r="G26" s="34" t="s">
        <v>7</v>
      </c>
      <c r="H26" s="17"/>
      <c r="I26" s="4"/>
      <c r="J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54.0" customHeight="1">
      <c r="A27" s="86">
        <v>0.7847222222222222</v>
      </c>
      <c r="B27" s="86">
        <v>0.8090277777777778</v>
      </c>
      <c r="C27" s="75" t="s">
        <v>63</v>
      </c>
      <c r="D27" s="50" t="s">
        <v>21</v>
      </c>
      <c r="E27" s="12" t="s">
        <v>35</v>
      </c>
      <c r="F27" s="12" t="s">
        <v>36</v>
      </c>
      <c r="G27" s="18" t="s">
        <v>37</v>
      </c>
      <c r="H27" s="51"/>
      <c r="I27" s="15"/>
      <c r="J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56.25" customHeight="1">
      <c r="A28" s="16">
        <v>0.8090277777777778</v>
      </c>
      <c r="B28" s="16">
        <v>0.8333333333333334</v>
      </c>
      <c r="C28" s="59" t="s">
        <v>63</v>
      </c>
      <c r="D28" s="62" t="s">
        <v>36</v>
      </c>
      <c r="E28" s="62" t="s">
        <v>35</v>
      </c>
      <c r="F28" s="62" t="s">
        <v>36</v>
      </c>
      <c r="G28" s="68" t="s">
        <v>37</v>
      </c>
      <c r="H28" s="51"/>
      <c r="I28" s="15"/>
      <c r="J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51.0" customHeight="1">
      <c r="A29" s="16">
        <v>0.8333333333333334</v>
      </c>
      <c r="B29" s="16">
        <v>0.8576388888888888</v>
      </c>
      <c r="C29" s="59" t="s">
        <v>64</v>
      </c>
      <c r="D29" s="62" t="s">
        <v>38</v>
      </c>
      <c r="E29" s="62" t="s">
        <v>35</v>
      </c>
      <c r="F29" s="62" t="s">
        <v>36</v>
      </c>
      <c r="G29" s="68" t="s">
        <v>37</v>
      </c>
      <c r="H29" s="51"/>
      <c r="I29" s="15"/>
      <c r="J29" s="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64.5" customHeight="1">
      <c r="A30" s="16">
        <v>0.8576388888888888</v>
      </c>
      <c r="B30" s="16">
        <v>0.8819444444444444</v>
      </c>
      <c r="C30" s="59" t="s">
        <v>64</v>
      </c>
      <c r="D30" s="62" t="s">
        <v>38</v>
      </c>
      <c r="E30" s="62" t="s">
        <v>40</v>
      </c>
      <c r="F30" s="87" t="s">
        <v>41</v>
      </c>
      <c r="G30" s="59" t="s">
        <v>64</v>
      </c>
      <c r="H30" s="51"/>
      <c r="I30" s="15"/>
      <c r="J30" s="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51.0" customHeight="1">
      <c r="A31" s="16">
        <v>0.8819444444444444</v>
      </c>
      <c r="B31" s="16">
        <v>0.90625</v>
      </c>
      <c r="C31" s="62" t="s">
        <v>45</v>
      </c>
      <c r="D31" s="62" t="s">
        <v>43</v>
      </c>
      <c r="E31" s="59" t="s">
        <v>66</v>
      </c>
      <c r="F31" s="87" t="s">
        <v>41</v>
      </c>
      <c r="G31" s="59" t="s">
        <v>64</v>
      </c>
      <c r="H31" s="51"/>
      <c r="I31" s="15"/>
      <c r="J31" s="4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49.5" customHeight="1">
      <c r="A32" s="16">
        <v>0.90625</v>
      </c>
      <c r="B32" s="16">
        <v>0.9305555555555556</v>
      </c>
      <c r="C32" s="62" t="s">
        <v>45</v>
      </c>
      <c r="D32" s="62" t="s">
        <v>43</v>
      </c>
      <c r="E32" s="59" t="s">
        <v>66</v>
      </c>
      <c r="F32" s="87" t="s">
        <v>41</v>
      </c>
      <c r="G32" s="88" t="s">
        <v>21</v>
      </c>
      <c r="H32" s="51"/>
      <c r="I32" s="15"/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51.75" customHeight="1">
      <c r="A33" s="16">
        <v>0.9305555555555556</v>
      </c>
      <c r="B33" s="16">
        <v>0.9548611111111112</v>
      </c>
      <c r="C33" s="88" t="s">
        <v>21</v>
      </c>
      <c r="D33" s="62" t="s">
        <v>43</v>
      </c>
      <c r="E33" s="59" t="s">
        <v>66</v>
      </c>
      <c r="F33" s="87" t="s">
        <v>41</v>
      </c>
      <c r="G33" s="88" t="s">
        <v>21</v>
      </c>
      <c r="H33" s="51"/>
      <c r="I33" s="15"/>
      <c r="J33" s="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5"/>
      <c r="B34" s="5"/>
      <c r="C34" s="22"/>
      <c r="D34" s="22"/>
      <c r="E34" s="22"/>
      <c r="F34" s="22"/>
      <c r="G34" s="22"/>
      <c r="H34" s="14"/>
      <c r="I34" s="4"/>
      <c r="J34" s="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5"/>
      <c r="B35" s="5"/>
      <c r="C35" s="22"/>
      <c r="E35" s="22"/>
      <c r="F35" s="22"/>
      <c r="G35" s="22"/>
      <c r="H35" s="14"/>
      <c r="I35" s="4"/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5"/>
      <c r="B36" s="5"/>
      <c r="E36" s="22"/>
      <c r="F36" s="22"/>
      <c r="G36" s="22"/>
      <c r="H36" s="14"/>
      <c r="I36" s="4"/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5"/>
      <c r="B37" s="5"/>
      <c r="E37" s="22"/>
      <c r="F37" s="22"/>
      <c r="G37" s="22"/>
      <c r="H37" s="14"/>
      <c r="I37" s="4"/>
      <c r="J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5"/>
      <c r="B38" s="5"/>
      <c r="E38" s="22"/>
      <c r="F38" s="22"/>
      <c r="G38" s="22"/>
      <c r="H38" s="14"/>
      <c r="I38" s="4"/>
      <c r="J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5"/>
      <c r="B39" s="5"/>
      <c r="C39" s="22"/>
      <c r="D39" s="22"/>
      <c r="E39" s="22"/>
      <c r="F39" s="22"/>
      <c r="G39" s="22"/>
      <c r="H39" s="14"/>
      <c r="I39" s="4"/>
      <c r="J39" s="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5"/>
      <c r="B40" s="5"/>
      <c r="C40" s="22"/>
      <c r="D40" s="22"/>
      <c r="E40" s="22"/>
      <c r="F40" s="22"/>
      <c r="G40" s="22"/>
      <c r="H40" s="14"/>
      <c r="I40" s="4"/>
      <c r="J40" s="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5"/>
      <c r="B41" s="5"/>
      <c r="C41" s="22"/>
      <c r="D41" s="22"/>
      <c r="E41" s="22"/>
      <c r="F41" s="22"/>
      <c r="G41" s="22"/>
      <c r="H41" s="14"/>
      <c r="I41" s="4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5"/>
      <c r="B42" s="5"/>
      <c r="C42" s="22"/>
      <c r="D42" s="22"/>
      <c r="E42" s="22"/>
      <c r="F42" s="22"/>
      <c r="G42" s="22"/>
      <c r="H42" s="14"/>
      <c r="I42" s="4"/>
      <c r="J42" s="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5"/>
      <c r="B43" s="5"/>
      <c r="C43" s="22"/>
      <c r="D43" s="22"/>
      <c r="E43" s="22"/>
      <c r="F43" s="22"/>
      <c r="G43" s="22"/>
      <c r="H43" s="14"/>
      <c r="I43" s="4"/>
      <c r="J43" s="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5"/>
      <c r="B44" s="5"/>
      <c r="C44" s="22"/>
      <c r="D44" s="22"/>
      <c r="E44" s="22"/>
      <c r="F44" s="22"/>
      <c r="G44" s="22"/>
      <c r="H44" s="14"/>
      <c r="I44" s="4"/>
      <c r="J44" s="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5"/>
      <c r="B45" s="5"/>
      <c r="C45" s="22"/>
      <c r="D45" s="22"/>
      <c r="E45" s="22"/>
      <c r="F45" s="22"/>
      <c r="G45" s="22"/>
      <c r="H45" s="14"/>
      <c r="I45" s="4"/>
      <c r="J45" s="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5"/>
      <c r="B46" s="5"/>
      <c r="C46" s="22"/>
      <c r="D46" s="22"/>
      <c r="E46" s="22"/>
      <c r="F46" s="22"/>
      <c r="G46" s="22"/>
      <c r="H46" s="14"/>
      <c r="I46" s="4"/>
      <c r="J46" s="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5"/>
      <c r="B47" s="5"/>
      <c r="C47" s="22"/>
      <c r="D47" s="22"/>
      <c r="E47" s="22"/>
      <c r="F47" s="22"/>
      <c r="G47" s="22"/>
      <c r="H47" s="14"/>
      <c r="I47" s="4"/>
      <c r="J47" s="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5"/>
      <c r="B48" s="5"/>
      <c r="C48" s="22"/>
      <c r="D48" s="22"/>
      <c r="E48" s="22"/>
      <c r="F48" s="22"/>
      <c r="G48" s="22"/>
      <c r="H48" s="14"/>
      <c r="I48" s="4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5"/>
      <c r="B49" s="5"/>
      <c r="C49" s="22"/>
      <c r="D49" s="22"/>
      <c r="E49" s="22"/>
      <c r="F49" s="22"/>
      <c r="G49" s="22"/>
      <c r="H49" s="14"/>
      <c r="I49" s="4"/>
      <c r="J49" s="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5"/>
      <c r="B50" s="5"/>
      <c r="C50" s="22"/>
      <c r="D50" s="22"/>
      <c r="E50" s="22"/>
      <c r="F50" s="22"/>
      <c r="G50" s="22"/>
      <c r="H50" s="14"/>
      <c r="I50" s="4"/>
      <c r="J50" s="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5"/>
      <c r="B51" s="5"/>
      <c r="C51" s="22"/>
      <c r="D51" s="22"/>
      <c r="E51" s="22"/>
      <c r="F51" s="22"/>
      <c r="G51" s="22"/>
      <c r="H51" s="14"/>
      <c r="I51" s="4"/>
      <c r="J51" s="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5"/>
      <c r="B52" s="5"/>
      <c r="C52" s="22"/>
      <c r="D52" s="22"/>
      <c r="E52" s="22"/>
      <c r="F52" s="22"/>
      <c r="G52" s="22"/>
      <c r="H52" s="14"/>
      <c r="I52" s="4"/>
      <c r="J52" s="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5"/>
      <c r="B53" s="5"/>
      <c r="C53" s="22"/>
      <c r="D53" s="22"/>
      <c r="E53" s="22"/>
      <c r="F53" s="22"/>
      <c r="G53" s="22"/>
      <c r="H53" s="14"/>
      <c r="I53" s="4"/>
      <c r="J53" s="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5"/>
      <c r="B54" s="5"/>
      <c r="C54" s="22"/>
      <c r="D54" s="22"/>
      <c r="E54" s="22"/>
      <c r="F54" s="22"/>
      <c r="G54" s="22"/>
      <c r="H54" s="14"/>
      <c r="I54" s="4"/>
      <c r="J54" s="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5"/>
      <c r="B55" s="5"/>
      <c r="C55" s="22"/>
      <c r="D55" s="22"/>
      <c r="E55" s="22"/>
      <c r="F55" s="22"/>
      <c r="G55" s="22"/>
      <c r="H55" s="14"/>
      <c r="I55" s="4"/>
      <c r="J55" s="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5"/>
      <c r="B56" s="5"/>
      <c r="C56" s="22"/>
      <c r="D56" s="22"/>
      <c r="E56" s="22"/>
      <c r="F56" s="22"/>
      <c r="G56" s="22"/>
      <c r="H56" s="14"/>
      <c r="I56" s="4"/>
      <c r="J56" s="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5"/>
      <c r="B57" s="5"/>
      <c r="C57" s="22"/>
      <c r="D57" s="22"/>
      <c r="E57" s="22"/>
      <c r="F57" s="22"/>
      <c r="G57" s="22"/>
      <c r="H57" s="14"/>
      <c r="I57" s="4"/>
      <c r="J57" s="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5"/>
      <c r="B58" s="5"/>
      <c r="C58" s="22"/>
      <c r="D58" s="22"/>
      <c r="E58" s="22"/>
      <c r="F58" s="22"/>
      <c r="G58" s="22"/>
      <c r="H58" s="14"/>
      <c r="I58" s="4"/>
      <c r="J58" s="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"/>
      <c r="B59" s="5"/>
      <c r="C59" s="22"/>
      <c r="D59" s="22"/>
      <c r="E59" s="22"/>
      <c r="F59" s="22"/>
      <c r="G59" s="22"/>
      <c r="H59" s="14"/>
      <c r="I59" s="4"/>
      <c r="J59" s="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5"/>
      <c r="B60" s="5"/>
      <c r="C60" s="22"/>
      <c r="D60" s="22"/>
      <c r="E60" s="22"/>
      <c r="F60" s="22"/>
      <c r="G60" s="22"/>
      <c r="H60" s="14"/>
      <c r="I60" s="4"/>
      <c r="J60" s="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5"/>
      <c r="B61" s="5"/>
      <c r="C61" s="22"/>
      <c r="D61" s="22"/>
      <c r="E61" s="22"/>
      <c r="F61" s="22"/>
      <c r="G61" s="22"/>
      <c r="H61" s="14"/>
      <c r="I61" s="4"/>
      <c r="J61" s="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5"/>
      <c r="B62" s="5"/>
      <c r="C62" s="22"/>
      <c r="D62" s="22"/>
      <c r="E62" s="22"/>
      <c r="F62" s="22"/>
      <c r="G62" s="22"/>
      <c r="H62" s="14"/>
      <c r="I62" s="4"/>
      <c r="J62" s="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5"/>
      <c r="B63" s="5"/>
      <c r="C63" s="22"/>
      <c r="D63" s="22"/>
      <c r="E63" s="22"/>
      <c r="F63" s="22"/>
      <c r="G63" s="22"/>
      <c r="H63" s="14"/>
      <c r="I63" s="4"/>
      <c r="J63" s="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5"/>
      <c r="B64" s="5"/>
      <c r="C64" s="22"/>
      <c r="D64" s="22"/>
      <c r="E64" s="22"/>
      <c r="F64" s="22"/>
      <c r="G64" s="22"/>
      <c r="H64" s="14"/>
      <c r="I64" s="4"/>
      <c r="J64" s="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5"/>
      <c r="B65" s="5"/>
      <c r="C65" s="22"/>
      <c r="D65" s="22"/>
      <c r="E65" s="22"/>
      <c r="F65" s="22"/>
      <c r="G65" s="22"/>
      <c r="H65" s="14"/>
      <c r="I65" s="4"/>
      <c r="J65" s="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5"/>
      <c r="B66" s="5"/>
      <c r="C66" s="22"/>
      <c r="D66" s="22"/>
      <c r="E66" s="22"/>
      <c r="F66" s="22"/>
      <c r="G66" s="22"/>
      <c r="H66" s="14"/>
      <c r="I66" s="4"/>
      <c r="J66" s="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5"/>
      <c r="B67" s="5"/>
      <c r="C67" s="22"/>
      <c r="D67" s="22"/>
      <c r="E67" s="22"/>
      <c r="F67" s="22"/>
      <c r="G67" s="22"/>
      <c r="H67" s="14"/>
      <c r="I67" s="4"/>
      <c r="J67" s="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5"/>
      <c r="B68" s="5"/>
      <c r="C68" s="22"/>
      <c r="D68" s="22"/>
      <c r="E68" s="22"/>
      <c r="F68" s="22"/>
      <c r="G68" s="22"/>
      <c r="H68" s="14"/>
      <c r="I68" s="4"/>
      <c r="J68" s="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5"/>
      <c r="B69" s="5"/>
      <c r="C69" s="22"/>
      <c r="D69" s="22"/>
      <c r="E69" s="22"/>
      <c r="F69" s="22"/>
      <c r="G69" s="22"/>
      <c r="H69" s="14"/>
      <c r="I69" s="4"/>
      <c r="J69" s="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5"/>
      <c r="B70" s="5"/>
      <c r="C70" s="22"/>
      <c r="D70" s="22"/>
      <c r="E70" s="22"/>
      <c r="F70" s="22"/>
      <c r="G70" s="22"/>
      <c r="H70" s="14"/>
      <c r="I70" s="4"/>
      <c r="J70" s="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5"/>
      <c r="B71" s="5"/>
      <c r="C71" s="22"/>
      <c r="D71" s="22"/>
      <c r="E71" s="22"/>
      <c r="F71" s="22"/>
      <c r="G71" s="22"/>
      <c r="H71" s="14"/>
      <c r="I71" s="4"/>
      <c r="J71" s="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5"/>
      <c r="B72" s="5"/>
      <c r="C72" s="22"/>
      <c r="D72" s="22"/>
      <c r="E72" s="22"/>
      <c r="F72" s="22"/>
      <c r="G72" s="22"/>
      <c r="H72" s="14"/>
      <c r="I72" s="4"/>
      <c r="J72" s="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5"/>
      <c r="B73" s="5"/>
      <c r="C73" s="22"/>
      <c r="D73" s="22"/>
      <c r="E73" s="22"/>
      <c r="F73" s="22"/>
      <c r="G73" s="22"/>
      <c r="H73" s="14"/>
      <c r="I73" s="4"/>
      <c r="J73" s="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5"/>
      <c r="B74" s="5"/>
      <c r="C74" s="22"/>
      <c r="D74" s="22"/>
      <c r="E74" s="22"/>
      <c r="F74" s="22"/>
      <c r="G74" s="22"/>
      <c r="H74" s="14"/>
      <c r="I74" s="4"/>
      <c r="J74" s="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5"/>
      <c r="B75" s="5"/>
      <c r="C75" s="22"/>
      <c r="D75" s="22"/>
      <c r="E75" s="22"/>
      <c r="F75" s="22"/>
      <c r="G75" s="22"/>
      <c r="H75" s="14"/>
      <c r="I75" s="4"/>
      <c r="J75" s="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5"/>
      <c r="B76" s="5"/>
      <c r="C76" s="22"/>
      <c r="D76" s="22"/>
      <c r="E76" s="22"/>
      <c r="F76" s="22"/>
      <c r="G76" s="22"/>
      <c r="H76" s="14"/>
      <c r="I76" s="4"/>
      <c r="J76" s="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5"/>
      <c r="B77" s="5"/>
      <c r="C77" s="22"/>
      <c r="D77" s="22"/>
      <c r="E77" s="22"/>
      <c r="F77" s="22"/>
      <c r="G77" s="22"/>
      <c r="H77" s="14"/>
      <c r="I77" s="4"/>
      <c r="J77" s="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5"/>
      <c r="B78" s="5"/>
      <c r="C78" s="22"/>
      <c r="D78" s="22"/>
      <c r="E78" s="22"/>
      <c r="F78" s="22"/>
      <c r="G78" s="22"/>
      <c r="H78" s="14"/>
      <c r="I78" s="4"/>
      <c r="J78" s="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5"/>
      <c r="B79" s="5"/>
      <c r="C79" s="22"/>
      <c r="D79" s="22"/>
      <c r="E79" s="22"/>
      <c r="F79" s="22"/>
      <c r="G79" s="22"/>
      <c r="H79" s="14"/>
      <c r="I79" s="4"/>
      <c r="J79" s="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5"/>
      <c r="B80" s="5"/>
      <c r="C80" s="22"/>
      <c r="D80" s="22"/>
      <c r="E80" s="22"/>
      <c r="F80" s="22"/>
      <c r="G80" s="22"/>
      <c r="H80" s="14"/>
      <c r="I80" s="4"/>
      <c r="J80" s="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5"/>
      <c r="B81" s="5"/>
      <c r="C81" s="22"/>
      <c r="D81" s="22"/>
      <c r="E81" s="22"/>
      <c r="F81" s="22"/>
      <c r="G81" s="22"/>
      <c r="H81" s="14"/>
      <c r="I81" s="4"/>
      <c r="J81" s="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5"/>
      <c r="B82" s="5"/>
      <c r="C82" s="22"/>
      <c r="D82" s="22"/>
      <c r="E82" s="22"/>
      <c r="F82" s="22"/>
      <c r="G82" s="22"/>
      <c r="H82" s="14"/>
      <c r="I82" s="4"/>
      <c r="J82" s="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5"/>
      <c r="B83" s="5"/>
      <c r="C83" s="22"/>
      <c r="D83" s="22"/>
      <c r="E83" s="22"/>
      <c r="F83" s="22"/>
      <c r="G83" s="22"/>
      <c r="H83" s="14"/>
      <c r="I83" s="4"/>
      <c r="J83" s="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5"/>
      <c r="B84" s="5"/>
      <c r="C84" s="22"/>
      <c r="D84" s="22"/>
      <c r="E84" s="22"/>
      <c r="F84" s="22"/>
      <c r="G84" s="22"/>
      <c r="H84" s="14"/>
      <c r="I84" s="4"/>
      <c r="J84" s="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5"/>
      <c r="B85" s="5"/>
      <c r="C85" s="22"/>
      <c r="D85" s="22"/>
      <c r="E85" s="22"/>
      <c r="F85" s="22"/>
      <c r="G85" s="22"/>
      <c r="H85" s="14"/>
      <c r="I85" s="4"/>
      <c r="J85" s="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5"/>
      <c r="B86" s="5"/>
      <c r="C86" s="22"/>
      <c r="D86" s="22"/>
      <c r="E86" s="22"/>
      <c r="F86" s="22"/>
      <c r="G86" s="22"/>
      <c r="H86" s="14"/>
      <c r="I86" s="4"/>
      <c r="J86" s="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5"/>
      <c r="B87" s="5"/>
      <c r="C87" s="22"/>
      <c r="D87" s="22"/>
      <c r="E87" s="22"/>
      <c r="F87" s="22"/>
      <c r="G87" s="22"/>
      <c r="H87" s="14"/>
      <c r="I87" s="4"/>
      <c r="J87" s="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5"/>
      <c r="B88" s="5"/>
      <c r="C88" s="22"/>
      <c r="D88" s="22"/>
      <c r="E88" s="22"/>
      <c r="F88" s="22"/>
      <c r="G88" s="22"/>
      <c r="H88" s="14"/>
      <c r="I88" s="4"/>
      <c r="J88" s="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5"/>
      <c r="B89" s="5"/>
      <c r="C89" s="22"/>
      <c r="D89" s="22"/>
      <c r="E89" s="22"/>
      <c r="F89" s="22"/>
      <c r="G89" s="22"/>
      <c r="H89" s="14"/>
      <c r="I89" s="4"/>
      <c r="J89" s="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5"/>
      <c r="B90" s="5"/>
      <c r="C90" s="22"/>
      <c r="D90" s="22"/>
      <c r="E90" s="22"/>
      <c r="F90" s="22"/>
      <c r="G90" s="22"/>
      <c r="H90" s="14"/>
      <c r="I90" s="4"/>
      <c r="J90" s="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5"/>
      <c r="B91" s="5"/>
      <c r="C91" s="22"/>
      <c r="D91" s="22"/>
      <c r="E91" s="22"/>
      <c r="F91" s="22"/>
      <c r="G91" s="22"/>
      <c r="H91" s="14"/>
      <c r="I91" s="4"/>
      <c r="J91" s="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5"/>
      <c r="B92" s="5"/>
      <c r="C92" s="22"/>
      <c r="D92" s="22"/>
      <c r="E92" s="22"/>
      <c r="F92" s="22"/>
      <c r="G92" s="22"/>
      <c r="H92" s="14"/>
      <c r="I92" s="4"/>
      <c r="J92" s="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5"/>
      <c r="B93" s="5"/>
      <c r="C93" s="22"/>
      <c r="D93" s="22"/>
      <c r="E93" s="22"/>
      <c r="F93" s="22"/>
      <c r="G93" s="22"/>
      <c r="H93" s="14"/>
      <c r="I93" s="4"/>
      <c r="J93" s="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5"/>
      <c r="B94" s="5"/>
      <c r="C94" s="22"/>
      <c r="D94" s="22"/>
      <c r="E94" s="22"/>
      <c r="F94" s="22"/>
      <c r="G94" s="22"/>
      <c r="H94" s="14"/>
      <c r="I94" s="4"/>
      <c r="J94" s="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5"/>
      <c r="B95" s="5"/>
      <c r="C95" s="22"/>
      <c r="D95" s="22"/>
      <c r="E95" s="22"/>
      <c r="F95" s="22"/>
      <c r="G95" s="22"/>
      <c r="H95" s="14"/>
      <c r="I95" s="4"/>
      <c r="J95" s="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5"/>
      <c r="B96" s="5"/>
      <c r="C96" s="22"/>
      <c r="D96" s="22"/>
      <c r="E96" s="22"/>
      <c r="F96" s="22"/>
      <c r="G96" s="22"/>
      <c r="H96" s="14"/>
      <c r="I96" s="4"/>
      <c r="J96" s="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5"/>
      <c r="B97" s="5"/>
      <c r="C97" s="22"/>
      <c r="D97" s="22"/>
      <c r="E97" s="22"/>
      <c r="F97" s="22"/>
      <c r="G97" s="22"/>
      <c r="H97" s="14"/>
      <c r="I97" s="4"/>
      <c r="J97" s="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5"/>
      <c r="B98" s="5"/>
      <c r="C98" s="22"/>
      <c r="D98" s="22"/>
      <c r="E98" s="22"/>
      <c r="F98" s="22"/>
      <c r="G98" s="22"/>
      <c r="H98" s="14"/>
      <c r="I98" s="4"/>
      <c r="J98" s="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5"/>
      <c r="B99" s="5"/>
      <c r="C99" s="22"/>
      <c r="D99" s="22"/>
      <c r="E99" s="22"/>
      <c r="F99" s="22"/>
      <c r="G99" s="22"/>
      <c r="H99" s="14"/>
      <c r="I99" s="4"/>
      <c r="J99" s="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5"/>
      <c r="B100" s="5"/>
      <c r="C100" s="22"/>
      <c r="D100" s="22"/>
      <c r="E100" s="22"/>
      <c r="F100" s="22"/>
      <c r="G100" s="22"/>
      <c r="H100" s="14"/>
      <c r="I100" s="4"/>
      <c r="J100" s="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5"/>
      <c r="B101" s="5"/>
      <c r="C101" s="22"/>
      <c r="D101" s="22"/>
      <c r="E101" s="22"/>
      <c r="F101" s="22"/>
      <c r="G101" s="22"/>
      <c r="H101" s="14"/>
      <c r="I101" s="4"/>
      <c r="J101" s="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5"/>
      <c r="B102" s="5"/>
      <c r="C102" s="22"/>
      <c r="D102" s="22"/>
      <c r="E102" s="22"/>
      <c r="F102" s="22"/>
      <c r="G102" s="22"/>
      <c r="H102" s="14"/>
      <c r="I102" s="4"/>
      <c r="J102" s="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5"/>
      <c r="B103" s="5"/>
      <c r="C103" s="22"/>
      <c r="D103" s="22"/>
      <c r="E103" s="22"/>
      <c r="F103" s="22"/>
      <c r="G103" s="22"/>
      <c r="H103" s="14"/>
      <c r="I103" s="4"/>
      <c r="J103" s="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5"/>
      <c r="B104" s="5"/>
      <c r="C104" s="22"/>
      <c r="D104" s="22"/>
      <c r="E104" s="22"/>
      <c r="F104" s="22"/>
      <c r="G104" s="22"/>
      <c r="H104" s="14"/>
      <c r="I104" s="4"/>
      <c r="J104" s="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5"/>
      <c r="B105" s="5"/>
      <c r="C105" s="22"/>
      <c r="D105" s="22"/>
      <c r="E105" s="22"/>
      <c r="F105" s="22"/>
      <c r="G105" s="22"/>
      <c r="H105" s="14"/>
      <c r="I105" s="4"/>
      <c r="J105" s="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5"/>
      <c r="B106" s="5"/>
      <c r="C106" s="22"/>
      <c r="D106" s="22"/>
      <c r="E106" s="22"/>
      <c r="F106" s="22"/>
      <c r="G106" s="22"/>
      <c r="H106" s="14"/>
      <c r="I106" s="4"/>
      <c r="J106" s="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5"/>
      <c r="B107" s="5"/>
      <c r="C107" s="22"/>
      <c r="D107" s="22"/>
      <c r="E107" s="22"/>
      <c r="F107" s="22"/>
      <c r="G107" s="22"/>
      <c r="H107" s="14"/>
      <c r="I107" s="4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5"/>
      <c r="B108" s="5"/>
      <c r="C108" s="22"/>
      <c r="D108" s="22"/>
      <c r="E108" s="22"/>
      <c r="F108" s="22"/>
      <c r="G108" s="22"/>
      <c r="H108" s="14"/>
      <c r="I108" s="4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5"/>
      <c r="B109" s="5"/>
      <c r="C109" s="22"/>
      <c r="D109" s="22"/>
      <c r="E109" s="22"/>
      <c r="F109" s="22"/>
      <c r="G109" s="22"/>
      <c r="H109" s="14"/>
      <c r="I109" s="4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5"/>
      <c r="B110" s="5"/>
      <c r="C110" s="22"/>
      <c r="D110" s="22"/>
      <c r="E110" s="22"/>
      <c r="F110" s="22"/>
      <c r="G110" s="22"/>
      <c r="H110" s="14"/>
      <c r="I110" s="4"/>
      <c r="J110" s="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5"/>
      <c r="B111" s="5"/>
      <c r="C111" s="22"/>
      <c r="D111" s="22"/>
      <c r="E111" s="22"/>
      <c r="F111" s="22"/>
      <c r="G111" s="22"/>
      <c r="H111" s="14"/>
      <c r="I111" s="4"/>
      <c r="J111" s="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5"/>
      <c r="B112" s="5"/>
      <c r="C112" s="22"/>
      <c r="D112" s="22"/>
      <c r="E112" s="22"/>
      <c r="F112" s="22"/>
      <c r="G112" s="22"/>
      <c r="H112" s="14"/>
      <c r="I112" s="4"/>
      <c r="J112" s="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5"/>
      <c r="B113" s="5"/>
      <c r="C113" s="22"/>
      <c r="D113" s="22"/>
      <c r="E113" s="22"/>
      <c r="F113" s="22"/>
      <c r="G113" s="22"/>
      <c r="H113" s="14"/>
      <c r="I113" s="4"/>
      <c r="J113" s="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5"/>
      <c r="B114" s="5"/>
      <c r="C114" s="22"/>
      <c r="D114" s="22"/>
      <c r="E114" s="22"/>
      <c r="F114" s="22"/>
      <c r="G114" s="22"/>
      <c r="H114" s="14"/>
      <c r="I114" s="4"/>
      <c r="J114" s="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5"/>
      <c r="B115" s="5"/>
      <c r="C115" s="22"/>
      <c r="D115" s="22"/>
      <c r="E115" s="22"/>
      <c r="F115" s="22"/>
      <c r="G115" s="22"/>
      <c r="H115" s="14"/>
      <c r="I115" s="4"/>
      <c r="J115" s="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5"/>
      <c r="B116" s="5"/>
      <c r="C116" s="22"/>
      <c r="D116" s="22"/>
      <c r="E116" s="22"/>
      <c r="F116" s="22"/>
      <c r="G116" s="22"/>
      <c r="H116" s="14"/>
      <c r="I116" s="4"/>
      <c r="J116" s="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5"/>
      <c r="B117" s="5"/>
      <c r="C117" s="22"/>
      <c r="D117" s="22"/>
      <c r="E117" s="22"/>
      <c r="F117" s="22"/>
      <c r="G117" s="22"/>
      <c r="H117" s="14"/>
      <c r="I117" s="4"/>
      <c r="J117" s="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5"/>
      <c r="B118" s="5"/>
      <c r="C118" s="22"/>
      <c r="D118" s="22"/>
      <c r="E118" s="22"/>
      <c r="F118" s="22"/>
      <c r="G118" s="22"/>
      <c r="H118" s="14"/>
      <c r="I118" s="4"/>
      <c r="J118" s="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5"/>
      <c r="B119" s="5"/>
      <c r="C119" s="22"/>
      <c r="D119" s="22"/>
      <c r="E119" s="22"/>
      <c r="F119" s="22"/>
      <c r="G119" s="22"/>
      <c r="H119" s="14"/>
      <c r="I119" s="4"/>
      <c r="J119" s="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5"/>
      <c r="B120" s="5"/>
      <c r="C120" s="22"/>
      <c r="D120" s="22"/>
      <c r="E120" s="22"/>
      <c r="F120" s="22"/>
      <c r="G120" s="22"/>
      <c r="H120" s="14"/>
      <c r="I120" s="4"/>
      <c r="J120" s="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5"/>
      <c r="B121" s="5"/>
      <c r="C121" s="22"/>
      <c r="D121" s="22"/>
      <c r="E121" s="22"/>
      <c r="F121" s="22"/>
      <c r="G121" s="22"/>
      <c r="H121" s="14"/>
      <c r="I121" s="4"/>
      <c r="J121" s="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5"/>
      <c r="B122" s="5"/>
      <c r="C122" s="22"/>
      <c r="D122" s="22"/>
      <c r="E122" s="22"/>
      <c r="F122" s="22"/>
      <c r="G122" s="22"/>
      <c r="H122" s="14"/>
      <c r="I122" s="4"/>
      <c r="J122" s="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5"/>
      <c r="B123" s="5"/>
      <c r="C123" s="22"/>
      <c r="D123" s="22"/>
      <c r="E123" s="22"/>
      <c r="F123" s="22"/>
      <c r="G123" s="22"/>
      <c r="H123" s="14"/>
      <c r="I123" s="4"/>
      <c r="J123" s="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5"/>
      <c r="B124" s="5"/>
      <c r="C124" s="22"/>
      <c r="D124" s="22"/>
      <c r="E124" s="22"/>
      <c r="F124" s="22"/>
      <c r="G124" s="22"/>
      <c r="H124" s="14"/>
      <c r="I124" s="4"/>
      <c r="J124" s="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5"/>
      <c r="B125" s="5"/>
      <c r="C125" s="22"/>
      <c r="D125" s="22"/>
      <c r="E125" s="22"/>
      <c r="F125" s="22"/>
      <c r="G125" s="22"/>
      <c r="H125" s="14"/>
      <c r="I125" s="4"/>
      <c r="J125" s="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5"/>
      <c r="B126" s="5"/>
      <c r="C126" s="22"/>
      <c r="D126" s="22"/>
      <c r="E126" s="22"/>
      <c r="F126" s="22"/>
      <c r="G126" s="22"/>
      <c r="H126" s="14"/>
      <c r="I126" s="4"/>
      <c r="J126" s="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5"/>
      <c r="B127" s="5"/>
      <c r="C127" s="22"/>
      <c r="D127" s="22"/>
      <c r="E127" s="22"/>
      <c r="F127" s="22"/>
      <c r="G127" s="22"/>
      <c r="H127" s="14"/>
      <c r="I127" s="4"/>
      <c r="J127" s="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5"/>
      <c r="B128" s="5"/>
      <c r="C128" s="22"/>
      <c r="D128" s="22"/>
      <c r="E128" s="22"/>
      <c r="F128" s="22"/>
      <c r="G128" s="22"/>
      <c r="H128" s="14"/>
      <c r="I128" s="4"/>
      <c r="J128" s="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5"/>
      <c r="B129" s="5"/>
      <c r="C129" s="22"/>
      <c r="D129" s="22"/>
      <c r="E129" s="22"/>
      <c r="F129" s="22"/>
      <c r="G129" s="22"/>
      <c r="H129" s="14"/>
      <c r="I129" s="4"/>
      <c r="J129" s="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5"/>
      <c r="B130" s="5"/>
      <c r="C130" s="22"/>
      <c r="D130" s="22"/>
      <c r="E130" s="22"/>
      <c r="F130" s="22"/>
      <c r="G130" s="22"/>
      <c r="H130" s="14"/>
      <c r="I130" s="4"/>
      <c r="J130" s="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5"/>
      <c r="B131" s="5"/>
      <c r="C131" s="22"/>
      <c r="D131" s="22"/>
      <c r="E131" s="22"/>
      <c r="F131" s="22"/>
      <c r="G131" s="22"/>
      <c r="H131" s="14"/>
      <c r="I131" s="4"/>
      <c r="J131" s="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5"/>
      <c r="B132" s="5"/>
      <c r="C132" s="22"/>
      <c r="D132" s="22"/>
      <c r="E132" s="22"/>
      <c r="F132" s="22"/>
      <c r="G132" s="22"/>
      <c r="H132" s="14"/>
      <c r="I132" s="4"/>
      <c r="J132" s="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5"/>
      <c r="B133" s="5"/>
      <c r="C133" s="22"/>
      <c r="D133" s="22"/>
      <c r="E133" s="22"/>
      <c r="F133" s="22"/>
      <c r="G133" s="22"/>
      <c r="H133" s="14"/>
      <c r="I133" s="4"/>
      <c r="J133" s="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5"/>
      <c r="B134" s="5"/>
      <c r="C134" s="22"/>
      <c r="D134" s="22"/>
      <c r="E134" s="22"/>
      <c r="F134" s="22"/>
      <c r="G134" s="22"/>
      <c r="H134" s="14"/>
      <c r="I134" s="4"/>
      <c r="J134" s="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5"/>
      <c r="B135" s="5"/>
      <c r="C135" s="22"/>
      <c r="D135" s="22"/>
      <c r="E135" s="22"/>
      <c r="F135" s="22"/>
      <c r="G135" s="22"/>
      <c r="H135" s="14"/>
      <c r="I135" s="4"/>
      <c r="J135" s="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5"/>
      <c r="B136" s="5"/>
      <c r="C136" s="22"/>
      <c r="D136" s="22"/>
      <c r="E136" s="22"/>
      <c r="F136" s="22"/>
      <c r="G136" s="22"/>
      <c r="H136" s="14"/>
      <c r="I136" s="4"/>
      <c r="J136" s="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5"/>
      <c r="B137" s="5"/>
      <c r="C137" s="22"/>
      <c r="D137" s="22"/>
      <c r="E137" s="22"/>
      <c r="F137" s="22"/>
      <c r="G137" s="22"/>
      <c r="H137" s="14"/>
      <c r="I137" s="4"/>
      <c r="J137" s="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5"/>
      <c r="B138" s="5"/>
      <c r="C138" s="22"/>
      <c r="D138" s="22"/>
      <c r="E138" s="22"/>
      <c r="F138" s="22"/>
      <c r="G138" s="22"/>
      <c r="H138" s="14"/>
      <c r="I138" s="4"/>
      <c r="J138" s="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5"/>
      <c r="B139" s="5"/>
      <c r="C139" s="22"/>
      <c r="D139" s="22"/>
      <c r="E139" s="22"/>
      <c r="F139" s="22"/>
      <c r="G139" s="22"/>
      <c r="H139" s="14"/>
      <c r="I139" s="4"/>
      <c r="J139" s="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5"/>
      <c r="B140" s="5"/>
      <c r="C140" s="22"/>
      <c r="D140" s="22"/>
      <c r="E140" s="22"/>
      <c r="F140" s="22"/>
      <c r="G140" s="22"/>
      <c r="H140" s="14"/>
      <c r="I140" s="4"/>
      <c r="J140" s="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5"/>
      <c r="B141" s="5"/>
      <c r="C141" s="22"/>
      <c r="D141" s="22"/>
      <c r="E141" s="22"/>
      <c r="F141" s="22"/>
      <c r="G141" s="22"/>
      <c r="H141" s="14"/>
      <c r="I141" s="4"/>
      <c r="J141" s="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5"/>
      <c r="B142" s="5"/>
      <c r="C142" s="22"/>
      <c r="D142" s="22"/>
      <c r="E142" s="22"/>
      <c r="F142" s="22"/>
      <c r="G142" s="22"/>
      <c r="H142" s="14"/>
      <c r="I142" s="4"/>
      <c r="J142" s="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5"/>
      <c r="B143" s="5"/>
      <c r="C143" s="22"/>
      <c r="D143" s="22"/>
      <c r="E143" s="22"/>
      <c r="F143" s="22"/>
      <c r="G143" s="22"/>
      <c r="H143" s="14"/>
      <c r="I143" s="4"/>
      <c r="J143" s="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5"/>
      <c r="B144" s="5"/>
      <c r="C144" s="22"/>
      <c r="D144" s="22"/>
      <c r="E144" s="22"/>
      <c r="F144" s="22"/>
      <c r="G144" s="22"/>
      <c r="H144" s="14"/>
      <c r="I144" s="4"/>
      <c r="J144" s="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5"/>
      <c r="B145" s="5"/>
      <c r="C145" s="22"/>
      <c r="D145" s="22"/>
      <c r="E145" s="22"/>
      <c r="F145" s="22"/>
      <c r="G145" s="22"/>
      <c r="H145" s="14"/>
      <c r="I145" s="4"/>
      <c r="J145" s="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5"/>
      <c r="B146" s="5"/>
      <c r="C146" s="22"/>
      <c r="D146" s="22"/>
      <c r="E146" s="22"/>
      <c r="F146" s="22"/>
      <c r="G146" s="22"/>
      <c r="H146" s="14"/>
      <c r="I146" s="4"/>
      <c r="J146" s="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5"/>
      <c r="B147" s="5"/>
      <c r="C147" s="22"/>
      <c r="D147" s="22"/>
      <c r="E147" s="22"/>
      <c r="F147" s="22"/>
      <c r="G147" s="22"/>
      <c r="H147" s="14"/>
      <c r="I147" s="4"/>
      <c r="J147" s="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5"/>
      <c r="B148" s="5"/>
      <c r="C148" s="22"/>
      <c r="D148" s="22"/>
      <c r="E148" s="22"/>
      <c r="F148" s="22"/>
      <c r="G148" s="22"/>
      <c r="H148" s="14"/>
      <c r="I148" s="4"/>
      <c r="J148" s="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5"/>
      <c r="B149" s="5"/>
      <c r="C149" s="22"/>
      <c r="D149" s="22"/>
      <c r="E149" s="22"/>
      <c r="F149" s="22"/>
      <c r="G149" s="22"/>
      <c r="H149" s="14"/>
      <c r="I149" s="4"/>
      <c r="J149" s="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5"/>
      <c r="B150" s="5"/>
      <c r="C150" s="22"/>
      <c r="D150" s="22"/>
      <c r="E150" s="22"/>
      <c r="F150" s="22"/>
      <c r="G150" s="22"/>
      <c r="H150" s="14"/>
      <c r="I150" s="4"/>
      <c r="J150" s="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5"/>
      <c r="B151" s="5"/>
      <c r="C151" s="22"/>
      <c r="D151" s="22"/>
      <c r="E151" s="22"/>
      <c r="F151" s="22"/>
      <c r="G151" s="22"/>
      <c r="H151" s="14"/>
      <c r="I151" s="4"/>
      <c r="J151" s="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5"/>
      <c r="B152" s="5"/>
      <c r="C152" s="22"/>
      <c r="D152" s="22"/>
      <c r="E152" s="22"/>
      <c r="F152" s="22"/>
      <c r="G152" s="22"/>
      <c r="H152" s="14"/>
      <c r="I152" s="4"/>
      <c r="J152" s="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5"/>
      <c r="B153" s="5"/>
      <c r="C153" s="22"/>
      <c r="D153" s="22"/>
      <c r="E153" s="22"/>
      <c r="F153" s="22"/>
      <c r="G153" s="22"/>
      <c r="H153" s="14"/>
      <c r="I153" s="4"/>
      <c r="J153" s="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5"/>
      <c r="B154" s="5"/>
      <c r="C154" s="22"/>
      <c r="D154" s="22"/>
      <c r="E154" s="22"/>
      <c r="F154" s="22"/>
      <c r="G154" s="22"/>
      <c r="H154" s="14"/>
      <c r="I154" s="4"/>
      <c r="J154" s="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5"/>
      <c r="B155" s="5"/>
      <c r="C155" s="22"/>
      <c r="D155" s="22"/>
      <c r="E155" s="22"/>
      <c r="F155" s="22"/>
      <c r="G155" s="22"/>
      <c r="H155" s="14"/>
      <c r="I155" s="4"/>
      <c r="J155" s="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5"/>
      <c r="B156" s="5"/>
      <c r="C156" s="22"/>
      <c r="D156" s="22"/>
      <c r="E156" s="22"/>
      <c r="F156" s="22"/>
      <c r="G156" s="22"/>
      <c r="H156" s="14"/>
      <c r="I156" s="4"/>
      <c r="J156" s="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5"/>
      <c r="B157" s="5"/>
      <c r="C157" s="22"/>
      <c r="D157" s="22"/>
      <c r="E157" s="22"/>
      <c r="F157" s="22"/>
      <c r="G157" s="22"/>
      <c r="H157" s="14"/>
      <c r="I157" s="4"/>
      <c r="J157" s="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5"/>
      <c r="B158" s="5"/>
      <c r="C158" s="22"/>
      <c r="D158" s="22"/>
      <c r="E158" s="22"/>
      <c r="F158" s="22"/>
      <c r="G158" s="22"/>
      <c r="H158" s="14"/>
      <c r="I158" s="4"/>
      <c r="J158" s="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5"/>
      <c r="B159" s="5"/>
      <c r="C159" s="22"/>
      <c r="D159" s="22"/>
      <c r="E159" s="22"/>
      <c r="F159" s="22"/>
      <c r="G159" s="22"/>
      <c r="H159" s="14"/>
      <c r="I159" s="4"/>
      <c r="J159" s="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5"/>
      <c r="B160" s="5"/>
      <c r="C160" s="22"/>
      <c r="D160" s="22"/>
      <c r="E160" s="22"/>
      <c r="F160" s="22"/>
      <c r="G160" s="22"/>
      <c r="H160" s="14"/>
      <c r="I160" s="4"/>
      <c r="J160" s="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5"/>
      <c r="B161" s="5"/>
      <c r="C161" s="22"/>
      <c r="D161" s="22"/>
      <c r="E161" s="22"/>
      <c r="F161" s="22"/>
      <c r="G161" s="22"/>
      <c r="H161" s="14"/>
      <c r="I161" s="4"/>
      <c r="J161" s="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5"/>
      <c r="B162" s="5"/>
      <c r="C162" s="22"/>
      <c r="D162" s="22"/>
      <c r="E162" s="22"/>
      <c r="F162" s="22"/>
      <c r="G162" s="22"/>
      <c r="H162" s="14"/>
      <c r="I162" s="4"/>
      <c r="J162" s="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5"/>
      <c r="B163" s="5"/>
      <c r="C163" s="22"/>
      <c r="D163" s="22"/>
      <c r="E163" s="22"/>
      <c r="F163" s="22"/>
      <c r="G163" s="22"/>
      <c r="H163" s="14"/>
      <c r="I163" s="4"/>
      <c r="J163" s="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5"/>
      <c r="B164" s="5"/>
      <c r="C164" s="22"/>
      <c r="D164" s="22"/>
      <c r="E164" s="22"/>
      <c r="F164" s="22"/>
      <c r="G164" s="22"/>
      <c r="H164" s="14"/>
      <c r="I164" s="4"/>
      <c r="J164" s="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5"/>
      <c r="B165" s="5"/>
      <c r="C165" s="22"/>
      <c r="D165" s="22"/>
      <c r="E165" s="22"/>
      <c r="F165" s="22"/>
      <c r="G165" s="22"/>
      <c r="H165" s="14"/>
      <c r="I165" s="4"/>
      <c r="J165" s="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5"/>
      <c r="B166" s="5"/>
      <c r="C166" s="22"/>
      <c r="D166" s="22"/>
      <c r="E166" s="22"/>
      <c r="F166" s="22"/>
      <c r="G166" s="22"/>
      <c r="H166" s="14"/>
      <c r="I166" s="4"/>
      <c r="J166" s="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5"/>
      <c r="B167" s="5"/>
      <c r="C167" s="22"/>
      <c r="D167" s="22"/>
      <c r="E167" s="22"/>
      <c r="F167" s="22"/>
      <c r="G167" s="22"/>
      <c r="H167" s="14"/>
      <c r="I167" s="4"/>
      <c r="J167" s="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5"/>
      <c r="B168" s="5"/>
      <c r="C168" s="22"/>
      <c r="D168" s="22"/>
      <c r="E168" s="22"/>
      <c r="F168" s="22"/>
      <c r="G168" s="22"/>
      <c r="H168" s="14"/>
      <c r="I168" s="4"/>
      <c r="J168" s="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5"/>
      <c r="B169" s="5"/>
      <c r="C169" s="22"/>
      <c r="D169" s="22"/>
      <c r="E169" s="22"/>
      <c r="F169" s="22"/>
      <c r="G169" s="22"/>
      <c r="H169" s="14"/>
      <c r="I169" s="4"/>
      <c r="J169" s="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5"/>
      <c r="B170" s="5"/>
      <c r="C170" s="22"/>
      <c r="D170" s="22"/>
      <c r="E170" s="22"/>
      <c r="F170" s="22"/>
      <c r="G170" s="22"/>
      <c r="H170" s="14"/>
      <c r="I170" s="4"/>
      <c r="J170" s="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5"/>
      <c r="B171" s="5"/>
      <c r="C171" s="22"/>
      <c r="D171" s="22"/>
      <c r="E171" s="22"/>
      <c r="F171" s="22"/>
      <c r="G171" s="22"/>
      <c r="H171" s="14"/>
      <c r="I171" s="4"/>
      <c r="J171" s="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5"/>
      <c r="B172" s="5"/>
      <c r="C172" s="22"/>
      <c r="D172" s="22"/>
      <c r="E172" s="22"/>
      <c r="F172" s="22"/>
      <c r="G172" s="22"/>
      <c r="H172" s="14"/>
      <c r="I172" s="4"/>
      <c r="J172" s="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5"/>
      <c r="B173" s="5"/>
      <c r="C173" s="22"/>
      <c r="D173" s="22"/>
      <c r="E173" s="22"/>
      <c r="F173" s="22"/>
      <c r="G173" s="22"/>
      <c r="H173" s="14"/>
      <c r="I173" s="4"/>
      <c r="J173" s="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5"/>
      <c r="B174" s="5"/>
      <c r="C174" s="22"/>
      <c r="D174" s="22"/>
      <c r="E174" s="22"/>
      <c r="F174" s="22"/>
      <c r="G174" s="22"/>
      <c r="H174" s="14"/>
      <c r="I174" s="4"/>
      <c r="J174" s="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5"/>
      <c r="B175" s="5"/>
      <c r="C175" s="22"/>
      <c r="D175" s="22"/>
      <c r="E175" s="22"/>
      <c r="F175" s="22"/>
      <c r="G175" s="22"/>
      <c r="H175" s="14"/>
      <c r="I175" s="4"/>
      <c r="J175" s="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5"/>
      <c r="B176" s="5"/>
      <c r="C176" s="22"/>
      <c r="D176" s="22"/>
      <c r="E176" s="22"/>
      <c r="F176" s="22"/>
      <c r="G176" s="22"/>
      <c r="H176" s="14"/>
      <c r="I176" s="4"/>
      <c r="J176" s="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5"/>
      <c r="B177" s="5"/>
      <c r="C177" s="22"/>
      <c r="D177" s="22"/>
      <c r="E177" s="22"/>
      <c r="F177" s="22"/>
      <c r="G177" s="22"/>
      <c r="H177" s="14"/>
      <c r="I177" s="4"/>
      <c r="J177" s="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5"/>
      <c r="B178" s="5"/>
      <c r="C178" s="22"/>
      <c r="D178" s="22"/>
      <c r="E178" s="22"/>
      <c r="F178" s="22"/>
      <c r="G178" s="22"/>
      <c r="H178" s="14"/>
      <c r="I178" s="4"/>
      <c r="J178" s="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5"/>
      <c r="B179" s="5"/>
      <c r="C179" s="22"/>
      <c r="D179" s="22"/>
      <c r="E179" s="22"/>
      <c r="F179" s="22"/>
      <c r="G179" s="22"/>
      <c r="H179" s="14"/>
      <c r="I179" s="4"/>
      <c r="J179" s="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5"/>
      <c r="B180" s="5"/>
      <c r="C180" s="22"/>
      <c r="D180" s="22"/>
      <c r="E180" s="22"/>
      <c r="F180" s="22"/>
      <c r="G180" s="22"/>
      <c r="H180" s="14"/>
      <c r="I180" s="4"/>
      <c r="J180" s="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5"/>
      <c r="B181" s="5"/>
      <c r="C181" s="22"/>
      <c r="D181" s="22"/>
      <c r="E181" s="22"/>
      <c r="F181" s="22"/>
      <c r="G181" s="22"/>
      <c r="H181" s="14"/>
      <c r="I181" s="4"/>
      <c r="J181" s="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5"/>
      <c r="B182" s="5"/>
      <c r="C182" s="22"/>
      <c r="D182" s="22"/>
      <c r="E182" s="22"/>
      <c r="F182" s="22"/>
      <c r="G182" s="22"/>
      <c r="H182" s="14"/>
      <c r="I182" s="4"/>
      <c r="J182" s="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5"/>
      <c r="B183" s="5"/>
      <c r="C183" s="22"/>
      <c r="D183" s="22"/>
      <c r="E183" s="22"/>
      <c r="F183" s="22"/>
      <c r="G183" s="22"/>
      <c r="H183" s="14"/>
      <c r="I183" s="4"/>
      <c r="J183" s="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5"/>
      <c r="B184" s="5"/>
      <c r="C184" s="22"/>
      <c r="D184" s="22"/>
      <c r="E184" s="22"/>
      <c r="F184" s="22"/>
      <c r="G184" s="22"/>
      <c r="H184" s="14"/>
      <c r="I184" s="4"/>
      <c r="J184" s="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5"/>
      <c r="B185" s="5"/>
      <c r="C185" s="22"/>
      <c r="D185" s="22"/>
      <c r="E185" s="22"/>
      <c r="F185" s="22"/>
      <c r="G185" s="22"/>
      <c r="H185" s="14"/>
      <c r="I185" s="4"/>
      <c r="J185" s="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5"/>
      <c r="B186" s="5"/>
      <c r="C186" s="22"/>
      <c r="D186" s="22"/>
      <c r="E186" s="22"/>
      <c r="F186" s="22"/>
      <c r="G186" s="22"/>
      <c r="H186" s="14"/>
      <c r="I186" s="4"/>
      <c r="J186" s="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5"/>
      <c r="B187" s="5"/>
      <c r="C187" s="22"/>
      <c r="D187" s="22"/>
      <c r="E187" s="22"/>
      <c r="F187" s="22"/>
      <c r="G187" s="22"/>
      <c r="H187" s="14"/>
      <c r="I187" s="4"/>
      <c r="J187" s="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5"/>
      <c r="B188" s="5"/>
      <c r="C188" s="22"/>
      <c r="D188" s="22"/>
      <c r="E188" s="22"/>
      <c r="F188" s="22"/>
      <c r="G188" s="22"/>
      <c r="H188" s="14"/>
      <c r="I188" s="4"/>
      <c r="J188" s="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5"/>
      <c r="B189" s="5"/>
      <c r="C189" s="22"/>
      <c r="D189" s="22"/>
      <c r="E189" s="22"/>
      <c r="F189" s="22"/>
      <c r="G189" s="22"/>
      <c r="H189" s="14"/>
      <c r="I189" s="4"/>
      <c r="J189" s="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5"/>
      <c r="B190" s="5"/>
      <c r="C190" s="22"/>
      <c r="D190" s="22"/>
      <c r="E190" s="22"/>
      <c r="F190" s="22"/>
      <c r="G190" s="22"/>
      <c r="H190" s="14"/>
      <c r="I190" s="4"/>
      <c r="J190" s="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5"/>
      <c r="B191" s="5"/>
      <c r="C191" s="22"/>
      <c r="D191" s="22"/>
      <c r="E191" s="22"/>
      <c r="F191" s="22"/>
      <c r="G191" s="22"/>
      <c r="H191" s="14"/>
      <c r="I191" s="4"/>
      <c r="J191" s="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5"/>
      <c r="B192" s="5"/>
      <c r="C192" s="22"/>
      <c r="D192" s="22"/>
      <c r="E192" s="22"/>
      <c r="F192" s="22"/>
      <c r="G192" s="22"/>
      <c r="H192" s="14"/>
      <c r="I192" s="4"/>
      <c r="J192" s="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5"/>
      <c r="B193" s="5"/>
      <c r="C193" s="22"/>
      <c r="D193" s="22"/>
      <c r="E193" s="22"/>
      <c r="F193" s="22"/>
      <c r="G193" s="22"/>
      <c r="H193" s="14"/>
      <c r="I193" s="4"/>
      <c r="J193" s="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5"/>
      <c r="B194" s="5"/>
      <c r="C194" s="22"/>
      <c r="D194" s="22"/>
      <c r="E194" s="22"/>
      <c r="F194" s="22"/>
      <c r="G194" s="22"/>
      <c r="H194" s="14"/>
      <c r="I194" s="4"/>
      <c r="J194" s="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5"/>
      <c r="B195" s="5"/>
      <c r="C195" s="22"/>
      <c r="D195" s="22"/>
      <c r="E195" s="22"/>
      <c r="F195" s="22"/>
      <c r="G195" s="22"/>
      <c r="H195" s="14"/>
      <c r="I195" s="4"/>
      <c r="J195" s="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5"/>
      <c r="B196" s="5"/>
      <c r="C196" s="22"/>
      <c r="D196" s="22"/>
      <c r="E196" s="22"/>
      <c r="F196" s="22"/>
      <c r="G196" s="22"/>
      <c r="H196" s="14"/>
      <c r="I196" s="4"/>
      <c r="J196" s="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5"/>
      <c r="B197" s="5"/>
      <c r="C197" s="22"/>
      <c r="D197" s="22"/>
      <c r="E197" s="22"/>
      <c r="F197" s="22"/>
      <c r="G197" s="22"/>
      <c r="H197" s="14"/>
      <c r="I197" s="4"/>
      <c r="J197" s="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5"/>
      <c r="B198" s="5"/>
      <c r="C198" s="22"/>
      <c r="D198" s="22"/>
      <c r="E198" s="22"/>
      <c r="F198" s="22"/>
      <c r="G198" s="22"/>
      <c r="H198" s="14"/>
      <c r="I198" s="4"/>
      <c r="J198" s="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5"/>
      <c r="B199" s="5"/>
      <c r="C199" s="22"/>
      <c r="D199" s="22"/>
      <c r="E199" s="22"/>
      <c r="F199" s="22"/>
      <c r="G199" s="22"/>
      <c r="H199" s="14"/>
      <c r="I199" s="4"/>
      <c r="J199" s="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5"/>
      <c r="B200" s="5"/>
      <c r="C200" s="22"/>
      <c r="D200" s="22"/>
      <c r="E200" s="22"/>
      <c r="F200" s="22"/>
      <c r="G200" s="22"/>
      <c r="H200" s="14"/>
      <c r="I200" s="4"/>
      <c r="J200" s="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5"/>
      <c r="B201" s="5"/>
      <c r="C201" s="22"/>
      <c r="D201" s="22"/>
      <c r="E201" s="22"/>
      <c r="F201" s="22"/>
      <c r="G201" s="22"/>
      <c r="H201" s="14"/>
      <c r="I201" s="4"/>
      <c r="J201" s="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5"/>
      <c r="B202" s="5"/>
      <c r="C202" s="22"/>
      <c r="D202" s="22"/>
      <c r="E202" s="22"/>
      <c r="F202" s="22"/>
      <c r="G202" s="22"/>
      <c r="H202" s="14"/>
      <c r="I202" s="4"/>
      <c r="J202" s="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5"/>
      <c r="B203" s="5"/>
      <c r="C203" s="22"/>
      <c r="D203" s="22"/>
      <c r="E203" s="22"/>
      <c r="F203" s="22"/>
      <c r="G203" s="22"/>
      <c r="H203" s="14"/>
      <c r="I203" s="4"/>
      <c r="J203" s="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5"/>
      <c r="B204" s="5"/>
      <c r="C204" s="22"/>
      <c r="D204" s="22"/>
      <c r="E204" s="22"/>
      <c r="F204" s="22"/>
      <c r="G204" s="22"/>
      <c r="H204" s="14"/>
      <c r="I204" s="4"/>
      <c r="J204" s="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5"/>
      <c r="B205" s="5"/>
      <c r="C205" s="22"/>
      <c r="D205" s="22"/>
      <c r="E205" s="22"/>
      <c r="F205" s="22"/>
      <c r="G205" s="22"/>
      <c r="H205" s="14"/>
      <c r="I205" s="4"/>
      <c r="J205" s="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5"/>
      <c r="B206" s="5"/>
      <c r="C206" s="22"/>
      <c r="D206" s="22"/>
      <c r="E206" s="22"/>
      <c r="F206" s="22"/>
      <c r="G206" s="22"/>
      <c r="H206" s="14"/>
      <c r="I206" s="4"/>
      <c r="J206" s="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5"/>
      <c r="B207" s="5"/>
      <c r="C207" s="22"/>
      <c r="D207" s="22"/>
      <c r="E207" s="22"/>
      <c r="F207" s="22"/>
      <c r="G207" s="22"/>
      <c r="H207" s="14"/>
      <c r="I207" s="4"/>
      <c r="J207" s="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5"/>
      <c r="B208" s="5"/>
      <c r="C208" s="22"/>
      <c r="D208" s="22"/>
      <c r="E208" s="22"/>
      <c r="F208" s="22"/>
      <c r="G208" s="22"/>
      <c r="H208" s="14"/>
      <c r="I208" s="4"/>
      <c r="J208" s="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5"/>
      <c r="B209" s="5"/>
      <c r="C209" s="22"/>
      <c r="D209" s="22"/>
      <c r="E209" s="22"/>
      <c r="F209" s="22"/>
      <c r="G209" s="22"/>
      <c r="H209" s="14"/>
      <c r="I209" s="4"/>
      <c r="J209" s="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5"/>
      <c r="B210" s="5"/>
      <c r="C210" s="22"/>
      <c r="D210" s="22"/>
      <c r="E210" s="22"/>
      <c r="F210" s="22"/>
      <c r="G210" s="22"/>
      <c r="H210" s="14"/>
      <c r="I210" s="4"/>
      <c r="J210" s="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5"/>
      <c r="B211" s="5"/>
      <c r="C211" s="22"/>
      <c r="D211" s="22"/>
      <c r="E211" s="22"/>
      <c r="F211" s="22"/>
      <c r="G211" s="22"/>
      <c r="H211" s="14"/>
      <c r="I211" s="4"/>
      <c r="J211" s="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5"/>
      <c r="B212" s="5"/>
      <c r="C212" s="22"/>
      <c r="D212" s="22"/>
      <c r="E212" s="22"/>
      <c r="F212" s="22"/>
      <c r="G212" s="22"/>
      <c r="H212" s="14"/>
      <c r="I212" s="4"/>
      <c r="J212" s="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5"/>
      <c r="B213" s="5"/>
      <c r="C213" s="22"/>
      <c r="D213" s="22"/>
      <c r="E213" s="22"/>
      <c r="F213" s="22"/>
      <c r="G213" s="22"/>
      <c r="H213" s="14"/>
      <c r="I213" s="4"/>
      <c r="J213" s="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5"/>
      <c r="B214" s="5"/>
      <c r="C214" s="22"/>
      <c r="D214" s="22"/>
      <c r="E214" s="22"/>
      <c r="F214" s="22"/>
      <c r="G214" s="22"/>
      <c r="H214" s="14"/>
      <c r="I214" s="4"/>
      <c r="J214" s="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5"/>
      <c r="B215" s="5"/>
      <c r="C215" s="22"/>
      <c r="D215" s="22"/>
      <c r="E215" s="22"/>
      <c r="F215" s="22"/>
      <c r="G215" s="22"/>
      <c r="H215" s="14"/>
      <c r="I215" s="4"/>
      <c r="J215" s="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5"/>
      <c r="B216" s="5"/>
      <c r="C216" s="22"/>
      <c r="D216" s="22"/>
      <c r="E216" s="22"/>
      <c r="F216" s="22"/>
      <c r="G216" s="22"/>
      <c r="H216" s="14"/>
      <c r="I216" s="4"/>
      <c r="J216" s="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5"/>
      <c r="B217" s="5"/>
      <c r="C217" s="22"/>
      <c r="D217" s="22"/>
      <c r="E217" s="22"/>
      <c r="F217" s="22"/>
      <c r="G217" s="22"/>
      <c r="H217" s="14"/>
      <c r="I217" s="4"/>
      <c r="J217" s="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5"/>
      <c r="B218" s="5"/>
      <c r="C218" s="22"/>
      <c r="D218" s="22"/>
      <c r="E218" s="22"/>
      <c r="F218" s="22"/>
      <c r="G218" s="22"/>
      <c r="H218" s="14"/>
      <c r="I218" s="4"/>
      <c r="J218" s="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5"/>
      <c r="B219" s="5"/>
      <c r="C219" s="22"/>
      <c r="D219" s="22"/>
      <c r="E219" s="22"/>
      <c r="F219" s="22"/>
      <c r="G219" s="22"/>
      <c r="H219" s="14"/>
      <c r="I219" s="4"/>
      <c r="J219" s="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5"/>
      <c r="B220" s="5"/>
      <c r="C220" s="22"/>
      <c r="D220" s="22"/>
      <c r="E220" s="22"/>
      <c r="F220" s="22"/>
      <c r="G220" s="22"/>
      <c r="H220" s="14"/>
      <c r="I220" s="4"/>
      <c r="J220" s="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5"/>
      <c r="B221" s="5"/>
      <c r="C221" s="22"/>
      <c r="D221" s="22"/>
      <c r="E221" s="22"/>
      <c r="F221" s="22"/>
      <c r="G221" s="22"/>
      <c r="H221" s="14"/>
      <c r="I221" s="4"/>
      <c r="J221" s="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5"/>
      <c r="B222" s="5"/>
      <c r="C222" s="22"/>
      <c r="D222" s="22"/>
      <c r="E222" s="22"/>
      <c r="F222" s="22"/>
      <c r="G222" s="22"/>
      <c r="H222" s="14"/>
      <c r="I222" s="4"/>
      <c r="J222" s="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5"/>
      <c r="B223" s="5"/>
      <c r="C223" s="22"/>
      <c r="D223" s="22"/>
      <c r="E223" s="22"/>
      <c r="F223" s="22"/>
      <c r="G223" s="22"/>
      <c r="H223" s="14"/>
      <c r="I223" s="4"/>
      <c r="J223" s="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5"/>
      <c r="B224" s="5"/>
      <c r="C224" s="22"/>
      <c r="D224" s="22"/>
      <c r="E224" s="22"/>
      <c r="F224" s="22"/>
      <c r="G224" s="22"/>
      <c r="H224" s="14"/>
      <c r="I224" s="4"/>
      <c r="J224" s="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5"/>
      <c r="B225" s="5"/>
      <c r="C225" s="22"/>
      <c r="D225" s="22"/>
      <c r="E225" s="22"/>
      <c r="F225" s="22"/>
      <c r="G225" s="22"/>
      <c r="H225" s="14"/>
      <c r="I225" s="4"/>
      <c r="J225" s="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5"/>
      <c r="B226" s="5"/>
      <c r="C226" s="22"/>
      <c r="D226" s="22"/>
      <c r="E226" s="22"/>
      <c r="F226" s="22"/>
      <c r="G226" s="22"/>
      <c r="H226" s="14"/>
      <c r="I226" s="4"/>
      <c r="J226" s="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5"/>
      <c r="B227" s="5"/>
      <c r="C227" s="22"/>
      <c r="D227" s="22"/>
      <c r="E227" s="22"/>
      <c r="F227" s="22"/>
      <c r="G227" s="22"/>
      <c r="H227" s="14"/>
      <c r="I227" s="4"/>
      <c r="J227" s="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5"/>
      <c r="B228" s="5"/>
      <c r="C228" s="22"/>
      <c r="D228" s="22"/>
      <c r="E228" s="22"/>
      <c r="F228" s="22"/>
      <c r="G228" s="22"/>
      <c r="H228" s="14"/>
      <c r="I228" s="4"/>
      <c r="J228" s="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5"/>
      <c r="B229" s="5"/>
      <c r="C229" s="22"/>
      <c r="D229" s="22"/>
      <c r="E229" s="22"/>
      <c r="F229" s="22"/>
      <c r="G229" s="22"/>
      <c r="H229" s="14"/>
      <c r="I229" s="4"/>
      <c r="J229" s="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5"/>
      <c r="B230" s="5"/>
      <c r="C230" s="22"/>
      <c r="D230" s="22"/>
      <c r="E230" s="22"/>
      <c r="F230" s="22"/>
      <c r="G230" s="22"/>
      <c r="H230" s="14"/>
      <c r="I230" s="4"/>
      <c r="J230" s="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5"/>
      <c r="B231" s="5"/>
      <c r="C231" s="22"/>
      <c r="D231" s="22"/>
      <c r="E231" s="22"/>
      <c r="F231" s="22"/>
      <c r="G231" s="22"/>
      <c r="H231" s="14"/>
      <c r="I231" s="4"/>
      <c r="J231" s="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5"/>
      <c r="B232" s="5"/>
      <c r="C232" s="22"/>
      <c r="D232" s="22"/>
      <c r="E232" s="22"/>
      <c r="F232" s="22"/>
      <c r="G232" s="22"/>
      <c r="H232" s="14"/>
      <c r="I232" s="4"/>
      <c r="J232" s="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5"/>
      <c r="B233" s="5"/>
      <c r="C233" s="22"/>
      <c r="D233" s="22"/>
      <c r="E233" s="22"/>
      <c r="F233" s="22"/>
      <c r="G233" s="22"/>
      <c r="H233" s="14"/>
      <c r="I233" s="4"/>
      <c r="J233" s="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13:G13"/>
    <mergeCell ref="A22:G22"/>
    <mergeCell ref="A25:G25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9.25"/>
    <col customWidth="1" min="4" max="4" width="19.38"/>
    <col customWidth="1" min="5" max="5" width="17.63"/>
    <col customWidth="1" min="6" max="6" width="18.0"/>
    <col customWidth="1" min="7" max="7" width="18.25"/>
  </cols>
  <sheetData>
    <row r="3">
      <c r="A3" s="55" t="s">
        <v>46</v>
      </c>
      <c r="B3" s="2"/>
      <c r="C3" s="2"/>
      <c r="D3" s="2"/>
      <c r="E3" s="2"/>
      <c r="F3" s="2"/>
      <c r="G3" s="28"/>
    </row>
    <row r="4">
      <c r="A4" s="6" t="s">
        <v>1</v>
      </c>
      <c r="B4" s="7" t="s">
        <v>2</v>
      </c>
      <c r="C4" s="8" t="s">
        <v>3</v>
      </c>
      <c r="D4" s="8" t="s">
        <v>4</v>
      </c>
      <c r="E4" s="56" t="s">
        <v>47</v>
      </c>
      <c r="F4" s="8" t="s">
        <v>6</v>
      </c>
      <c r="G4" s="6" t="s">
        <v>7</v>
      </c>
    </row>
    <row r="5">
      <c r="A5" s="57">
        <v>0.7847222222222222</v>
      </c>
      <c r="B5" s="58">
        <v>0.8055555555555556</v>
      </c>
      <c r="C5" s="59" t="s">
        <v>48</v>
      </c>
      <c r="D5" s="60" t="s">
        <v>21</v>
      </c>
      <c r="E5" s="59" t="s">
        <v>49</v>
      </c>
      <c r="F5" s="59" t="s">
        <v>50</v>
      </c>
      <c r="G5" s="59" t="s">
        <v>51</v>
      </c>
    </row>
    <row r="6">
      <c r="A6" s="61">
        <v>0.8055555555555556</v>
      </c>
      <c r="B6" s="61">
        <v>0.8263888888888888</v>
      </c>
      <c r="C6" s="59" t="s">
        <v>48</v>
      </c>
      <c r="D6" s="59" t="s">
        <v>51</v>
      </c>
      <c r="E6" s="59" t="s">
        <v>49</v>
      </c>
      <c r="F6" s="59" t="s">
        <v>50</v>
      </c>
      <c r="G6" s="59" t="s">
        <v>51</v>
      </c>
    </row>
    <row r="7">
      <c r="A7" s="61">
        <v>0.8263888888888888</v>
      </c>
      <c r="B7" s="61">
        <v>0.8472222222222222</v>
      </c>
      <c r="C7" s="59" t="s">
        <v>52</v>
      </c>
      <c r="D7" s="62" t="s">
        <v>53</v>
      </c>
      <c r="E7" s="59" t="s">
        <v>54</v>
      </c>
      <c r="F7" s="59" t="s">
        <v>73</v>
      </c>
      <c r="G7" s="59" t="s">
        <v>51</v>
      </c>
    </row>
    <row r="8">
      <c r="A8" s="61">
        <v>0.8472222222222222</v>
      </c>
      <c r="B8" s="61">
        <v>0.8680555555555556</v>
      </c>
      <c r="C8" s="59" t="s">
        <v>56</v>
      </c>
      <c r="D8" s="63" t="s">
        <v>57</v>
      </c>
      <c r="E8" s="62" t="s">
        <v>15</v>
      </c>
      <c r="F8" s="62" t="s">
        <v>17</v>
      </c>
      <c r="G8" s="62" t="s">
        <v>13</v>
      </c>
    </row>
    <row r="9">
      <c r="A9" s="65">
        <v>0.8680555555555556</v>
      </c>
      <c r="B9" s="65">
        <v>0.875</v>
      </c>
      <c r="C9" s="71" t="s">
        <v>16</v>
      </c>
      <c r="D9" s="71" t="s">
        <v>16</v>
      </c>
      <c r="E9" s="71" t="s">
        <v>16</v>
      </c>
      <c r="F9" s="71" t="s">
        <v>16</v>
      </c>
      <c r="G9" s="71" t="s">
        <v>16</v>
      </c>
    </row>
    <row r="10" ht="56.25" customHeight="1">
      <c r="A10" s="61">
        <v>0.875</v>
      </c>
      <c r="B10" s="61">
        <v>0.8958333333333334</v>
      </c>
      <c r="C10" s="59" t="s">
        <v>56</v>
      </c>
      <c r="D10" s="63" t="s">
        <v>57</v>
      </c>
      <c r="E10" s="62" t="s">
        <v>15</v>
      </c>
      <c r="F10" s="62" t="s">
        <v>17</v>
      </c>
      <c r="G10" s="62" t="s">
        <v>13</v>
      </c>
    </row>
    <row r="11" ht="60.0" customHeight="1">
      <c r="A11" s="61">
        <v>0.8958333333333334</v>
      </c>
      <c r="B11" s="61">
        <v>0.9166666666666666</v>
      </c>
      <c r="C11" s="60" t="s">
        <v>21</v>
      </c>
      <c r="D11" s="59" t="s">
        <v>58</v>
      </c>
      <c r="E11" s="62" t="s">
        <v>15</v>
      </c>
      <c r="F11" s="62" t="s">
        <v>17</v>
      </c>
      <c r="G11" s="60" t="s">
        <v>21</v>
      </c>
    </row>
    <row r="12" ht="56.25" customHeight="1">
      <c r="A12" s="16">
        <f>B12-I12</f>
        <v>0.9375</v>
      </c>
      <c r="B12" s="16">
        <v>0.9375</v>
      </c>
      <c r="C12" s="60" t="s">
        <v>21</v>
      </c>
      <c r="D12" s="59" t="s">
        <v>58</v>
      </c>
      <c r="E12" s="60" t="s">
        <v>21</v>
      </c>
      <c r="F12" s="60" t="s">
        <v>21</v>
      </c>
      <c r="G12" s="60" t="s">
        <v>21</v>
      </c>
    </row>
  </sheetData>
  <mergeCells count="1">
    <mergeCell ref="A3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7.88"/>
    <col customWidth="1" min="4" max="4" width="17.0"/>
    <col customWidth="1" min="5" max="5" width="17.88"/>
    <col customWidth="1" min="6" max="6" width="17.0"/>
    <col customWidth="1" min="7" max="7" width="19.5"/>
  </cols>
  <sheetData>
    <row r="3">
      <c r="A3" s="48" t="s">
        <v>59</v>
      </c>
      <c r="B3" s="2"/>
      <c r="C3" s="2"/>
      <c r="D3" s="2"/>
      <c r="E3" s="2"/>
      <c r="F3" s="2"/>
      <c r="G3" s="28"/>
    </row>
    <row r="4">
      <c r="A4" s="30" t="s">
        <v>1</v>
      </c>
      <c r="B4" s="31" t="s">
        <v>2</v>
      </c>
      <c r="C4" s="32" t="s">
        <v>3</v>
      </c>
      <c r="D4" s="32" t="s">
        <v>4</v>
      </c>
      <c r="E4" s="66" t="s">
        <v>47</v>
      </c>
      <c r="F4" s="32" t="s">
        <v>6</v>
      </c>
      <c r="G4" s="32" t="s">
        <v>7</v>
      </c>
    </row>
    <row r="5">
      <c r="A5" s="57">
        <v>0.7847222222222222</v>
      </c>
      <c r="B5" s="58">
        <v>0.8055555555555556</v>
      </c>
      <c r="C5" s="64" t="s">
        <v>20</v>
      </c>
      <c r="D5" s="59" t="s">
        <v>48</v>
      </c>
      <c r="E5" s="85" t="s">
        <v>22</v>
      </c>
      <c r="F5" s="62" t="s">
        <v>23</v>
      </c>
      <c r="G5" s="87" t="s">
        <v>31</v>
      </c>
    </row>
    <row r="6">
      <c r="A6" s="61">
        <v>0.8055555555555556</v>
      </c>
      <c r="B6" s="61">
        <v>0.8263888888888888</v>
      </c>
      <c r="C6" s="64" t="s">
        <v>20</v>
      </c>
      <c r="D6" s="59" t="s">
        <v>48</v>
      </c>
      <c r="E6" s="85" t="s">
        <v>24</v>
      </c>
      <c r="F6" s="62" t="s">
        <v>23</v>
      </c>
      <c r="G6" s="87" t="s">
        <v>31</v>
      </c>
    </row>
    <row r="7" ht="54.75" customHeight="1">
      <c r="A7" s="61">
        <v>0.8263888888888888</v>
      </c>
      <c r="B7" s="61">
        <v>0.8472222222222222</v>
      </c>
      <c r="C7" s="64" t="s">
        <v>20</v>
      </c>
      <c r="D7" s="62" t="s">
        <v>26</v>
      </c>
      <c r="E7" s="85" t="s">
        <v>24</v>
      </c>
      <c r="F7" s="62" t="s">
        <v>23</v>
      </c>
      <c r="G7" s="87" t="s">
        <v>31</v>
      </c>
    </row>
    <row r="8" ht="69.75" customHeight="1">
      <c r="A8" s="61">
        <v>0.8472222222222222</v>
      </c>
      <c r="B8" s="61">
        <v>0.8680555555555556</v>
      </c>
      <c r="C8" s="64" t="s">
        <v>20</v>
      </c>
      <c r="D8" s="62" t="s">
        <v>26</v>
      </c>
      <c r="E8" s="59" t="s">
        <v>61</v>
      </c>
      <c r="F8" s="89" t="s">
        <v>62</v>
      </c>
      <c r="G8" s="59" t="s">
        <v>51</v>
      </c>
    </row>
    <row r="9" ht="21.0" customHeight="1">
      <c r="A9" s="65">
        <v>0.8680555555555556</v>
      </c>
      <c r="B9" s="65">
        <v>0.875</v>
      </c>
      <c r="C9" s="71" t="s">
        <v>16</v>
      </c>
      <c r="D9" s="71" t="s">
        <v>16</v>
      </c>
      <c r="E9" s="71" t="s">
        <v>16</v>
      </c>
      <c r="F9" s="71" t="s">
        <v>16</v>
      </c>
      <c r="G9" s="71" t="s">
        <v>16</v>
      </c>
    </row>
    <row r="10" ht="76.5" customHeight="1">
      <c r="A10" s="61">
        <v>0.875</v>
      </c>
      <c r="B10" s="61">
        <v>0.8958333333333334</v>
      </c>
      <c r="C10" s="62" t="s">
        <v>29</v>
      </c>
      <c r="D10" s="62" t="s">
        <v>26</v>
      </c>
      <c r="E10" s="59" t="s">
        <v>61</v>
      </c>
      <c r="F10" s="89" t="s">
        <v>62</v>
      </c>
      <c r="G10" s="59" t="s">
        <v>51</v>
      </c>
    </row>
    <row r="11" ht="67.5" customHeight="1">
      <c r="A11" s="61">
        <v>0.8958333333333334</v>
      </c>
      <c r="B11" s="61">
        <v>0.9166666666666666</v>
      </c>
      <c r="C11" s="62" t="s">
        <v>29</v>
      </c>
      <c r="D11" s="60" t="s">
        <v>21</v>
      </c>
      <c r="E11" s="59" t="s">
        <v>61</v>
      </c>
      <c r="F11" s="60" t="s">
        <v>21</v>
      </c>
      <c r="G11" s="59" t="s">
        <v>51</v>
      </c>
    </row>
    <row r="12">
      <c r="A12" s="90">
        <v>0.9166666666666666</v>
      </c>
      <c r="B12" s="16">
        <v>0.9375</v>
      </c>
      <c r="C12" s="62" t="s">
        <v>29</v>
      </c>
      <c r="D12" s="60" t="s">
        <v>21</v>
      </c>
      <c r="E12" s="60" t="s">
        <v>21</v>
      </c>
      <c r="F12" s="60" t="s">
        <v>21</v>
      </c>
      <c r="G12" s="60" t="s">
        <v>21</v>
      </c>
    </row>
  </sheetData>
  <mergeCells count="1">
    <mergeCell ref="A3: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1.88"/>
    <col customWidth="1" min="4" max="4" width="19.13"/>
    <col customWidth="1" min="5" max="5" width="19.0"/>
    <col customWidth="1" min="6" max="6" width="19.25"/>
    <col customWidth="1" min="7" max="7" width="17.75"/>
  </cols>
  <sheetData>
    <row r="4">
      <c r="A4" s="48" t="s">
        <v>33</v>
      </c>
      <c r="B4" s="2"/>
      <c r="C4" s="2"/>
      <c r="D4" s="2"/>
      <c r="E4" s="2"/>
      <c r="F4" s="2"/>
      <c r="G4" s="28"/>
    </row>
    <row r="5">
      <c r="A5" s="37" t="s">
        <v>1</v>
      </c>
      <c r="B5" s="16" t="s">
        <v>2</v>
      </c>
      <c r="C5" s="6" t="s">
        <v>3</v>
      </c>
      <c r="D5" s="6" t="s">
        <v>4</v>
      </c>
      <c r="E5" s="73" t="s">
        <v>47</v>
      </c>
      <c r="F5" s="6" t="s">
        <v>6</v>
      </c>
      <c r="G5" s="6" t="s">
        <v>7</v>
      </c>
    </row>
    <row r="6" ht="76.5" customHeight="1">
      <c r="A6" s="91">
        <v>0.7847222222222222</v>
      </c>
      <c r="B6" s="91">
        <v>0.8055555555555556</v>
      </c>
      <c r="C6" s="75" t="s">
        <v>63</v>
      </c>
      <c r="D6" s="92" t="s">
        <v>74</v>
      </c>
      <c r="E6" s="93" t="s">
        <v>35</v>
      </c>
      <c r="F6" s="12" t="s">
        <v>36</v>
      </c>
      <c r="G6" s="13" t="s">
        <v>37</v>
      </c>
    </row>
    <row r="7" ht="47.25" customHeight="1">
      <c r="A7" s="94">
        <v>0.8055555555555556</v>
      </c>
      <c r="B7" s="61">
        <v>0.8263888888888888</v>
      </c>
      <c r="C7" s="75" t="s">
        <v>63</v>
      </c>
      <c r="D7" s="12" t="s">
        <v>36</v>
      </c>
      <c r="E7" s="95" t="s">
        <v>35</v>
      </c>
      <c r="F7" s="12" t="s">
        <v>36</v>
      </c>
      <c r="G7" s="13" t="s">
        <v>37</v>
      </c>
    </row>
    <row r="8" ht="55.5" customHeight="1">
      <c r="A8" s="94">
        <v>0.8263888888888888</v>
      </c>
      <c r="B8" s="61">
        <v>0.8472222222222222</v>
      </c>
      <c r="C8" s="75" t="s">
        <v>64</v>
      </c>
      <c r="D8" s="12" t="s">
        <v>38</v>
      </c>
      <c r="E8" s="95" t="s">
        <v>35</v>
      </c>
      <c r="F8" s="12" t="s">
        <v>36</v>
      </c>
      <c r="G8" s="13" t="s">
        <v>37</v>
      </c>
    </row>
    <row r="9">
      <c r="A9" s="94">
        <v>0.8472222222222222</v>
      </c>
      <c r="B9" s="61">
        <v>0.8680555555555556</v>
      </c>
      <c r="C9" s="75" t="s">
        <v>64</v>
      </c>
      <c r="D9" s="12" t="s">
        <v>38</v>
      </c>
      <c r="E9" s="75" t="s">
        <v>65</v>
      </c>
      <c r="F9" s="13" t="s">
        <v>41</v>
      </c>
      <c r="G9" s="75" t="s">
        <v>64</v>
      </c>
    </row>
    <row r="10">
      <c r="A10" s="96">
        <v>0.8680555555555556</v>
      </c>
      <c r="B10" s="96">
        <v>0.875</v>
      </c>
      <c r="C10" s="38" t="s">
        <v>16</v>
      </c>
      <c r="D10" s="38" t="s">
        <v>16</v>
      </c>
      <c r="E10" s="38" t="s">
        <v>16</v>
      </c>
      <c r="F10" s="38" t="s">
        <v>16</v>
      </c>
      <c r="G10" s="97" t="s">
        <v>16</v>
      </c>
    </row>
    <row r="11" ht="60.0" customHeight="1">
      <c r="A11" s="94">
        <v>0.875</v>
      </c>
      <c r="B11" s="94">
        <v>0.8958333333333334</v>
      </c>
      <c r="C11" s="12" t="s">
        <v>45</v>
      </c>
      <c r="D11" s="12" t="s">
        <v>43</v>
      </c>
      <c r="E11" s="75" t="s">
        <v>66</v>
      </c>
      <c r="F11" s="13" t="s">
        <v>41</v>
      </c>
      <c r="G11" s="75" t="s">
        <v>64</v>
      </c>
    </row>
    <row r="12" ht="60.75" customHeight="1">
      <c r="A12" s="94">
        <v>0.8958333333333334</v>
      </c>
      <c r="B12" s="94">
        <v>0.9166666666666666</v>
      </c>
      <c r="C12" s="12" t="s">
        <v>45</v>
      </c>
      <c r="D12" s="12" t="s">
        <v>43</v>
      </c>
      <c r="E12" s="75" t="s">
        <v>66</v>
      </c>
      <c r="F12" s="13" t="s">
        <v>41</v>
      </c>
      <c r="G12" s="35" t="s">
        <v>21</v>
      </c>
    </row>
    <row r="13">
      <c r="A13" s="94">
        <v>0.9166666666666666</v>
      </c>
      <c r="B13" s="37">
        <v>0.9375</v>
      </c>
      <c r="C13" s="50" t="s">
        <v>21</v>
      </c>
      <c r="D13" s="12" t="s">
        <v>43</v>
      </c>
      <c r="E13" s="75" t="s">
        <v>66</v>
      </c>
      <c r="F13" s="13" t="s">
        <v>41</v>
      </c>
      <c r="G13" s="35" t="s">
        <v>21</v>
      </c>
    </row>
  </sheetData>
  <mergeCells count="1">
    <mergeCell ref="A4:G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2.0"/>
    <col customWidth="1" min="4" max="10" width="8.75"/>
    <col customWidth="1" min="11" max="12" width="8.88"/>
  </cols>
  <sheetData>
    <row r="1" ht="15.75" customHeight="1">
      <c r="B1" s="98"/>
    </row>
    <row r="2" ht="15.75" customHeight="1">
      <c r="B2" s="99"/>
      <c r="C2" s="100" t="s">
        <v>75</v>
      </c>
      <c r="D2" s="101"/>
      <c r="E2" s="101"/>
      <c r="F2" s="102"/>
      <c r="G2" s="102"/>
      <c r="H2" s="102"/>
      <c r="I2" s="102"/>
      <c r="J2" s="102"/>
    </row>
    <row r="3" ht="15.75" customHeight="1">
      <c r="A3" s="98"/>
      <c r="B3" s="103" t="s">
        <v>76</v>
      </c>
      <c r="C3" s="103" t="s">
        <v>77</v>
      </c>
      <c r="D3" s="103" t="s">
        <v>78</v>
      </c>
      <c r="E3" s="103" t="s">
        <v>79</v>
      </c>
      <c r="F3" s="104"/>
      <c r="G3" s="98"/>
      <c r="H3" s="98"/>
      <c r="I3" s="98"/>
      <c r="J3" s="104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ht="15.75" customHeight="1">
      <c r="B4" s="103" t="s">
        <v>80</v>
      </c>
      <c r="C4" s="105" t="s">
        <v>81</v>
      </c>
      <c r="D4" s="105">
        <v>2.0</v>
      </c>
      <c r="E4" s="105">
        <v>1.0</v>
      </c>
      <c r="F4" s="102"/>
      <c r="G4" s="102"/>
      <c r="H4" s="102"/>
      <c r="I4" s="102"/>
      <c r="J4" s="102"/>
    </row>
    <row r="5" ht="15.75" customHeight="1">
      <c r="B5" s="103" t="s">
        <v>82</v>
      </c>
      <c r="C5" s="105" t="s">
        <v>83</v>
      </c>
      <c r="D5" s="105">
        <v>3.0</v>
      </c>
      <c r="E5" s="105">
        <v>1.0</v>
      </c>
      <c r="F5" s="102"/>
      <c r="G5" s="102"/>
      <c r="H5" s="102"/>
    </row>
    <row r="6" ht="15.75" customHeight="1">
      <c r="B6" s="103" t="s">
        <v>82</v>
      </c>
      <c r="C6" s="105" t="s">
        <v>84</v>
      </c>
      <c r="D6" s="105">
        <v>2.0</v>
      </c>
      <c r="E6" s="105">
        <v>1.0</v>
      </c>
      <c r="I6" s="102"/>
      <c r="J6" s="102"/>
    </row>
    <row r="7" ht="15.75" customHeight="1">
      <c r="B7" s="103" t="s">
        <v>82</v>
      </c>
      <c r="C7" s="105" t="s">
        <v>81</v>
      </c>
      <c r="D7" s="105">
        <v>1.0</v>
      </c>
      <c r="E7" s="105">
        <v>1.0</v>
      </c>
    </row>
    <row r="8" ht="15.75" customHeight="1">
      <c r="B8" s="103" t="s">
        <v>82</v>
      </c>
      <c r="C8" s="105" t="s">
        <v>84</v>
      </c>
      <c r="D8" s="105">
        <v>3.0</v>
      </c>
      <c r="E8" s="105">
        <v>2.0</v>
      </c>
    </row>
    <row r="9" ht="15.75" customHeight="1">
      <c r="B9" s="103" t="s">
        <v>82</v>
      </c>
      <c r="C9" s="105" t="s">
        <v>83</v>
      </c>
      <c r="D9" s="105">
        <v>3.0</v>
      </c>
      <c r="E9" s="105">
        <v>2.0</v>
      </c>
      <c r="O9" s="106"/>
    </row>
    <row r="10" ht="15.75" customHeight="1">
      <c r="B10" s="107" t="s">
        <v>82</v>
      </c>
      <c r="C10" s="108" t="s">
        <v>85</v>
      </c>
      <c r="D10" s="108">
        <v>3.0</v>
      </c>
      <c r="E10" s="108">
        <v>3.0</v>
      </c>
    </row>
    <row r="11" ht="15.75" customHeight="1">
      <c r="B11" s="107" t="s">
        <v>80</v>
      </c>
      <c r="C11" s="108" t="s">
        <v>86</v>
      </c>
      <c r="D11" s="108">
        <v>3.0</v>
      </c>
      <c r="E11" s="108">
        <v>3.0</v>
      </c>
    </row>
    <row r="12" ht="15.75" customHeight="1">
      <c r="B12" s="98"/>
    </row>
    <row r="13" ht="15.75" customHeight="1">
      <c r="B13" s="98"/>
    </row>
    <row r="14" ht="15.75" customHeight="1">
      <c r="B14" s="98"/>
    </row>
    <row r="15" ht="15.75" customHeight="1">
      <c r="B15" s="98"/>
    </row>
    <row r="16" ht="15.75" customHeight="1">
      <c r="B16" s="98"/>
      <c r="C16" s="109"/>
      <c r="D16" s="109"/>
      <c r="E16" s="109"/>
      <c r="F16" s="109"/>
      <c r="G16" s="110"/>
      <c r="H16" s="110"/>
      <c r="I16" s="110"/>
      <c r="J16" s="110"/>
      <c r="K16" s="110"/>
      <c r="L16" s="110"/>
    </row>
    <row r="17" ht="15.75" customHeight="1">
      <c r="B17" s="98"/>
      <c r="C17" s="109"/>
      <c r="D17" s="109"/>
      <c r="E17" s="109"/>
      <c r="F17" s="109"/>
      <c r="G17" s="110"/>
      <c r="H17" s="110"/>
      <c r="I17" s="110"/>
      <c r="J17" s="110"/>
    </row>
    <row r="18" ht="15.75" customHeight="1">
      <c r="B18" s="98"/>
      <c r="C18" s="109"/>
      <c r="D18" s="109"/>
      <c r="E18" s="109"/>
      <c r="F18" s="109"/>
      <c r="G18" s="110"/>
      <c r="H18" s="110"/>
      <c r="I18" s="110"/>
      <c r="J18" s="110"/>
    </row>
    <row r="19" ht="15.75" customHeight="1">
      <c r="B19" s="98"/>
      <c r="C19" s="109"/>
      <c r="D19" s="109"/>
      <c r="E19" s="109"/>
      <c r="F19" s="109"/>
      <c r="G19" s="110"/>
      <c r="H19" s="110"/>
      <c r="I19" s="110"/>
      <c r="J19" s="110"/>
      <c r="K19" s="110"/>
      <c r="L19" s="110"/>
    </row>
    <row r="20" ht="15.75" customHeight="1">
      <c r="B20" s="98"/>
      <c r="C20" s="109"/>
      <c r="D20" s="109"/>
      <c r="F20" s="109"/>
      <c r="G20" s="110"/>
      <c r="H20" s="110"/>
      <c r="I20" s="110"/>
      <c r="J20" s="110"/>
    </row>
    <row r="21" ht="15.75" customHeight="1">
      <c r="B21" s="98"/>
      <c r="C21" s="109"/>
      <c r="D21" s="109"/>
      <c r="E21" s="109"/>
      <c r="F21" s="109"/>
      <c r="G21" s="110"/>
      <c r="H21" s="110"/>
      <c r="I21" s="110"/>
      <c r="J21" s="110"/>
      <c r="K21" s="110"/>
      <c r="L21" s="110"/>
    </row>
    <row r="22" ht="15.75" customHeight="1">
      <c r="B22" s="98"/>
    </row>
    <row r="23" ht="15.75" customHeight="1">
      <c r="B23" s="98"/>
    </row>
    <row r="24" ht="15.75" customHeight="1">
      <c r="B24" s="98"/>
    </row>
    <row r="25" ht="15.75" customHeight="1">
      <c r="B25" s="98"/>
    </row>
    <row r="26" ht="15.75" customHeight="1">
      <c r="B26" s="98"/>
    </row>
    <row r="27" ht="15.75" customHeight="1">
      <c r="B27" s="98"/>
    </row>
    <row r="28" ht="15.75" customHeight="1">
      <c r="B28" s="98"/>
    </row>
    <row r="29" ht="15.75" customHeight="1">
      <c r="B29" s="98"/>
    </row>
    <row r="30" ht="15.75" customHeight="1">
      <c r="B30" s="98"/>
    </row>
    <row r="31" ht="15.75" customHeight="1">
      <c r="B31" s="98"/>
    </row>
    <row r="32" ht="15.75" customHeight="1">
      <c r="B32" s="98"/>
    </row>
    <row r="33" ht="15.75" customHeight="1">
      <c r="B33" s="98"/>
    </row>
    <row r="34" ht="15.75" customHeight="1">
      <c r="B34" s="98"/>
    </row>
    <row r="35" ht="15.75" customHeight="1">
      <c r="B35" s="98"/>
    </row>
    <row r="36" ht="15.75" customHeight="1">
      <c r="B36" s="98"/>
    </row>
    <row r="37" ht="15.75" customHeight="1">
      <c r="B37" s="98"/>
    </row>
    <row r="38" ht="15.75" customHeight="1">
      <c r="B38" s="98"/>
    </row>
    <row r="39" ht="15.75" customHeight="1">
      <c r="B39" s="98"/>
    </row>
    <row r="40" ht="15.75" customHeight="1">
      <c r="B40" s="98"/>
    </row>
    <row r="41" ht="15.75" customHeight="1">
      <c r="B41" s="98"/>
    </row>
    <row r="42" ht="15.75" customHeight="1">
      <c r="B42" s="98"/>
    </row>
    <row r="43" ht="15.75" customHeight="1">
      <c r="B43" s="98"/>
    </row>
    <row r="44" ht="15.75" customHeight="1">
      <c r="B44" s="98"/>
    </row>
    <row r="45" ht="15.75" customHeight="1">
      <c r="B45" s="98"/>
    </row>
    <row r="46" ht="15.75" customHeight="1">
      <c r="B46" s="98"/>
    </row>
    <row r="47" ht="15.75" customHeight="1">
      <c r="B47" s="98"/>
    </row>
    <row r="48" ht="15.75" customHeight="1">
      <c r="B48" s="98"/>
    </row>
    <row r="49" ht="15.75" customHeight="1">
      <c r="B49" s="98"/>
    </row>
    <row r="50" ht="15.75" customHeight="1">
      <c r="B50" s="98"/>
    </row>
    <row r="51" ht="15.75" customHeight="1">
      <c r="B51" s="98"/>
    </row>
    <row r="52" ht="15.75" customHeight="1">
      <c r="B52" s="98"/>
    </row>
    <row r="53" ht="15.75" customHeight="1">
      <c r="B53" s="98"/>
    </row>
    <row r="54" ht="15.75" customHeight="1">
      <c r="B54" s="98"/>
    </row>
    <row r="55" ht="15.75" customHeight="1">
      <c r="B55" s="98"/>
    </row>
    <row r="56" ht="15.75" customHeight="1">
      <c r="B56" s="98"/>
    </row>
    <row r="57" ht="15.75" customHeight="1">
      <c r="B57" s="98"/>
    </row>
    <row r="58" ht="15.75" customHeight="1">
      <c r="B58" s="98"/>
    </row>
    <row r="59" ht="15.75" customHeight="1">
      <c r="B59" s="98"/>
    </row>
    <row r="60" ht="15.75" customHeight="1">
      <c r="B60" s="98"/>
    </row>
    <row r="61" ht="15.75" customHeight="1">
      <c r="B61" s="98"/>
    </row>
    <row r="62" ht="15.75" customHeight="1">
      <c r="B62" s="98"/>
    </row>
    <row r="63" ht="15.75" customHeight="1">
      <c r="B63" s="98"/>
    </row>
    <row r="64" ht="15.75" customHeight="1">
      <c r="B64" s="98"/>
    </row>
    <row r="65" ht="15.75" customHeight="1">
      <c r="B65" s="98"/>
    </row>
    <row r="66" ht="15.75" customHeight="1">
      <c r="B66" s="98"/>
    </row>
    <row r="67" ht="15.75" customHeight="1">
      <c r="B67" s="98"/>
    </row>
    <row r="68" ht="15.75" customHeight="1">
      <c r="B68" s="98"/>
    </row>
    <row r="69" ht="15.75" customHeight="1">
      <c r="B69" s="98"/>
    </row>
    <row r="70" ht="15.75" customHeight="1">
      <c r="B70" s="98"/>
    </row>
    <row r="71" ht="15.75" customHeight="1">
      <c r="B71" s="98"/>
    </row>
    <row r="72" ht="15.75" customHeight="1">
      <c r="B72" s="98"/>
    </row>
    <row r="73" ht="15.75" customHeight="1">
      <c r="B73" s="98"/>
    </row>
    <row r="74" ht="15.75" customHeight="1">
      <c r="B74" s="98"/>
    </row>
    <row r="75" ht="15.75" customHeight="1">
      <c r="B75" s="98"/>
    </row>
    <row r="76" ht="15.75" customHeight="1">
      <c r="B76" s="98"/>
    </row>
    <row r="77" ht="15.75" customHeight="1">
      <c r="B77" s="98"/>
    </row>
    <row r="78" ht="15.75" customHeight="1">
      <c r="B78" s="98"/>
    </row>
    <row r="79" ht="15.75" customHeight="1">
      <c r="B79" s="98"/>
    </row>
    <row r="80" ht="15.75" customHeight="1">
      <c r="B80" s="98"/>
    </row>
    <row r="81" ht="15.75" customHeight="1">
      <c r="B81" s="98"/>
    </row>
    <row r="82" ht="15.75" customHeight="1">
      <c r="B82" s="98"/>
    </row>
    <row r="83" ht="15.75" customHeight="1">
      <c r="B83" s="98"/>
    </row>
    <row r="84" ht="15.75" customHeight="1">
      <c r="B84" s="98"/>
    </row>
    <row r="85" ht="15.75" customHeight="1">
      <c r="B85" s="98"/>
    </row>
    <row r="86" ht="15.75" customHeight="1">
      <c r="B86" s="98"/>
    </row>
    <row r="87" ht="15.75" customHeight="1">
      <c r="B87" s="98"/>
    </row>
    <row r="88" ht="15.75" customHeight="1">
      <c r="B88" s="98"/>
    </row>
    <row r="89" ht="15.75" customHeight="1">
      <c r="B89" s="98"/>
    </row>
    <row r="90" ht="15.75" customHeight="1">
      <c r="B90" s="98"/>
    </row>
    <row r="91" ht="15.75" customHeight="1">
      <c r="B91" s="98"/>
    </row>
    <row r="92" ht="15.75" customHeight="1">
      <c r="B92" s="98"/>
    </row>
    <row r="93" ht="15.75" customHeight="1">
      <c r="B93" s="98"/>
    </row>
    <row r="94" ht="15.75" customHeight="1">
      <c r="B94" s="98"/>
    </row>
    <row r="95" ht="15.75" customHeight="1">
      <c r="B95" s="98"/>
    </row>
    <row r="96" ht="15.75" customHeight="1">
      <c r="B96" s="98"/>
    </row>
    <row r="97" ht="15.75" customHeight="1">
      <c r="B97" s="98"/>
    </row>
    <row r="98" ht="15.75" customHeight="1">
      <c r="B98" s="98"/>
    </row>
    <row r="99" ht="15.75" customHeight="1">
      <c r="B99" s="98"/>
    </row>
    <row r="100" ht="15.75" customHeight="1">
      <c r="B100" s="98"/>
    </row>
    <row r="101" ht="15.75" customHeight="1">
      <c r="B101" s="98"/>
    </row>
    <row r="102" ht="15.75" customHeight="1">
      <c r="B102" s="98"/>
    </row>
    <row r="103" ht="15.75" customHeight="1">
      <c r="B103" s="98"/>
    </row>
    <row r="104" ht="15.75" customHeight="1">
      <c r="B104" s="98"/>
    </row>
    <row r="105" ht="15.75" customHeight="1">
      <c r="B105" s="98"/>
    </row>
    <row r="106" ht="15.75" customHeight="1">
      <c r="B106" s="98"/>
    </row>
    <row r="107" ht="15.75" customHeight="1">
      <c r="B107" s="98"/>
    </row>
    <row r="108" ht="15.75" customHeight="1">
      <c r="B108" s="98"/>
    </row>
    <row r="109" ht="15.75" customHeight="1">
      <c r="B109" s="98"/>
    </row>
    <row r="110" ht="15.75" customHeight="1">
      <c r="B110" s="98"/>
    </row>
    <row r="111" ht="15.75" customHeight="1">
      <c r="B111" s="98"/>
    </row>
    <row r="112" ht="15.75" customHeight="1">
      <c r="B112" s="98"/>
    </row>
    <row r="113" ht="15.75" customHeight="1">
      <c r="B113" s="98"/>
    </row>
    <row r="114" ht="15.75" customHeight="1">
      <c r="B114" s="98"/>
    </row>
    <row r="115" ht="15.75" customHeight="1">
      <c r="B115" s="98"/>
    </row>
    <row r="116" ht="15.75" customHeight="1">
      <c r="B116" s="98"/>
    </row>
    <row r="117" ht="15.75" customHeight="1">
      <c r="B117" s="98"/>
    </row>
    <row r="118" ht="15.75" customHeight="1">
      <c r="B118" s="98"/>
    </row>
    <row r="119" ht="15.75" customHeight="1">
      <c r="B119" s="98"/>
    </row>
    <row r="120" ht="15.75" customHeight="1">
      <c r="B120" s="98"/>
    </row>
    <row r="121" ht="15.75" customHeight="1">
      <c r="B121" s="98"/>
    </row>
    <row r="122" ht="15.75" customHeight="1">
      <c r="B122" s="98"/>
    </row>
    <row r="123" ht="15.75" customHeight="1">
      <c r="B123" s="98"/>
    </row>
    <row r="124" ht="15.75" customHeight="1">
      <c r="B124" s="98"/>
    </row>
    <row r="125" ht="15.75" customHeight="1">
      <c r="B125" s="98"/>
    </row>
    <row r="126" ht="15.75" customHeight="1">
      <c r="B126" s="98"/>
    </row>
    <row r="127" ht="15.75" customHeight="1">
      <c r="B127" s="98"/>
    </row>
    <row r="128" ht="15.75" customHeight="1">
      <c r="B128" s="98"/>
    </row>
    <row r="129" ht="15.75" customHeight="1">
      <c r="B129" s="98"/>
    </row>
    <row r="130" ht="15.75" customHeight="1">
      <c r="B130" s="98"/>
    </row>
    <row r="131" ht="15.75" customHeight="1">
      <c r="B131" s="98"/>
    </row>
    <row r="132" ht="15.75" customHeight="1">
      <c r="B132" s="98"/>
    </row>
    <row r="133" ht="15.75" customHeight="1">
      <c r="B133" s="98"/>
    </row>
    <row r="134" ht="15.75" customHeight="1">
      <c r="B134" s="98"/>
    </row>
    <row r="135" ht="15.75" customHeight="1">
      <c r="B135" s="98"/>
    </row>
    <row r="136" ht="15.75" customHeight="1">
      <c r="B136" s="98"/>
    </row>
    <row r="137" ht="15.75" customHeight="1">
      <c r="B137" s="98"/>
    </row>
    <row r="138" ht="15.75" customHeight="1">
      <c r="B138" s="98"/>
    </row>
    <row r="139" ht="15.75" customHeight="1">
      <c r="B139" s="98"/>
    </row>
    <row r="140" ht="15.75" customHeight="1">
      <c r="B140" s="98"/>
    </row>
    <row r="141" ht="15.75" customHeight="1">
      <c r="B141" s="98"/>
    </row>
    <row r="142" ht="15.75" customHeight="1">
      <c r="B142" s="98"/>
    </row>
    <row r="143" ht="15.75" customHeight="1">
      <c r="B143" s="98"/>
    </row>
    <row r="144" ht="15.75" customHeight="1">
      <c r="B144" s="98"/>
    </row>
    <row r="145" ht="15.75" customHeight="1">
      <c r="B145" s="98"/>
    </row>
    <row r="146" ht="15.75" customHeight="1">
      <c r="B146" s="98"/>
    </row>
    <row r="147" ht="15.75" customHeight="1">
      <c r="B147" s="98"/>
    </row>
    <row r="148" ht="15.75" customHeight="1">
      <c r="B148" s="98"/>
    </row>
    <row r="149" ht="15.75" customHeight="1">
      <c r="B149" s="98"/>
    </row>
    <row r="150" ht="15.75" customHeight="1">
      <c r="B150" s="98"/>
    </row>
    <row r="151" ht="15.75" customHeight="1">
      <c r="B151" s="98"/>
    </row>
    <row r="152" ht="15.75" customHeight="1">
      <c r="B152" s="98"/>
    </row>
    <row r="153" ht="15.75" customHeight="1">
      <c r="B153" s="98"/>
    </row>
    <row r="154" ht="15.75" customHeight="1">
      <c r="B154" s="98"/>
    </row>
    <row r="155" ht="15.75" customHeight="1">
      <c r="B155" s="98"/>
    </row>
    <row r="156" ht="15.75" customHeight="1">
      <c r="B156" s="98"/>
    </row>
    <row r="157" ht="15.75" customHeight="1">
      <c r="B157" s="98"/>
    </row>
    <row r="158" ht="15.75" customHeight="1">
      <c r="B158" s="98"/>
    </row>
    <row r="159" ht="15.75" customHeight="1">
      <c r="B159" s="98"/>
    </row>
    <row r="160" ht="15.75" customHeight="1">
      <c r="B160" s="98"/>
    </row>
    <row r="161" ht="15.75" customHeight="1">
      <c r="B161" s="98"/>
    </row>
    <row r="162" ht="15.75" customHeight="1">
      <c r="B162" s="98"/>
    </row>
    <row r="163" ht="15.75" customHeight="1">
      <c r="B163" s="98"/>
    </row>
    <row r="164" ht="15.75" customHeight="1">
      <c r="B164" s="98"/>
    </row>
    <row r="165" ht="15.75" customHeight="1">
      <c r="B165" s="98"/>
    </row>
    <row r="166" ht="15.75" customHeight="1">
      <c r="B166" s="98"/>
    </row>
    <row r="167" ht="15.75" customHeight="1">
      <c r="B167" s="98"/>
    </row>
    <row r="168" ht="15.75" customHeight="1">
      <c r="B168" s="98"/>
    </row>
    <row r="169" ht="15.75" customHeight="1">
      <c r="B169" s="98"/>
    </row>
    <row r="170" ht="15.75" customHeight="1">
      <c r="B170" s="98"/>
    </row>
    <row r="171" ht="15.75" customHeight="1">
      <c r="B171" s="98"/>
    </row>
    <row r="172" ht="15.75" customHeight="1">
      <c r="B172" s="98"/>
    </row>
    <row r="173" ht="15.75" customHeight="1">
      <c r="B173" s="98"/>
    </row>
    <row r="174" ht="15.75" customHeight="1">
      <c r="B174" s="98"/>
    </row>
    <row r="175" ht="15.75" customHeight="1">
      <c r="B175" s="98"/>
    </row>
    <row r="176" ht="15.75" customHeight="1">
      <c r="B176" s="98"/>
    </row>
    <row r="177" ht="15.75" customHeight="1">
      <c r="B177" s="98"/>
    </row>
    <row r="178" ht="15.75" customHeight="1">
      <c r="B178" s="98"/>
    </row>
    <row r="179" ht="15.75" customHeight="1">
      <c r="B179" s="98"/>
    </row>
    <row r="180" ht="15.75" customHeight="1">
      <c r="B180" s="98"/>
    </row>
    <row r="181" ht="15.75" customHeight="1">
      <c r="B181" s="98"/>
    </row>
    <row r="182" ht="15.75" customHeight="1">
      <c r="B182" s="98"/>
    </row>
    <row r="183" ht="15.75" customHeight="1">
      <c r="B183" s="98"/>
    </row>
    <row r="184" ht="15.75" customHeight="1">
      <c r="B184" s="98"/>
    </row>
    <row r="185" ht="15.75" customHeight="1">
      <c r="B185" s="98"/>
    </row>
    <row r="186" ht="15.75" customHeight="1">
      <c r="B186" s="98"/>
    </row>
    <row r="187" ht="15.75" customHeight="1">
      <c r="B187" s="98"/>
    </row>
    <row r="188" ht="15.75" customHeight="1">
      <c r="B188" s="98"/>
    </row>
    <row r="189" ht="15.75" customHeight="1">
      <c r="B189" s="98"/>
    </row>
    <row r="190" ht="15.75" customHeight="1">
      <c r="B190" s="98"/>
    </row>
    <row r="191" ht="15.75" customHeight="1">
      <c r="B191" s="98"/>
    </row>
    <row r="192" ht="15.75" customHeight="1">
      <c r="B192" s="98"/>
    </row>
    <row r="193" ht="15.75" customHeight="1">
      <c r="B193" s="98"/>
    </row>
    <row r="194" ht="15.75" customHeight="1">
      <c r="B194" s="98"/>
    </row>
    <row r="195" ht="15.75" customHeight="1">
      <c r="B195" s="98"/>
    </row>
    <row r="196" ht="15.75" customHeight="1">
      <c r="B196" s="98"/>
    </row>
    <row r="197" ht="15.75" customHeight="1">
      <c r="B197" s="98"/>
    </row>
    <row r="198" ht="15.75" customHeight="1">
      <c r="B198" s="98"/>
    </row>
    <row r="199" ht="15.75" customHeight="1">
      <c r="B199" s="98"/>
    </row>
    <row r="200" ht="15.75" customHeight="1">
      <c r="B200" s="98"/>
    </row>
    <row r="201" ht="15.75" customHeight="1">
      <c r="B201" s="98"/>
    </row>
    <row r="202" ht="15.75" customHeight="1">
      <c r="B202" s="98"/>
    </row>
    <row r="203" ht="15.75" customHeight="1">
      <c r="B203" s="98"/>
    </row>
    <row r="204" ht="15.75" customHeight="1">
      <c r="B204" s="98"/>
    </row>
    <row r="205" ht="15.75" customHeight="1">
      <c r="B205" s="98"/>
    </row>
    <row r="206" ht="15.75" customHeight="1">
      <c r="B206" s="98"/>
    </row>
    <row r="207" ht="15.75" customHeight="1">
      <c r="B207" s="98"/>
    </row>
    <row r="208" ht="15.75" customHeight="1">
      <c r="B208" s="98"/>
    </row>
    <row r="209" ht="15.75" customHeight="1">
      <c r="B209" s="98"/>
    </row>
    <row r="210" ht="15.75" customHeight="1">
      <c r="B210" s="98"/>
    </row>
    <row r="211" ht="15.75" customHeight="1">
      <c r="B211" s="98"/>
    </row>
    <row r="212" ht="15.75" customHeight="1">
      <c r="B212" s="98"/>
    </row>
    <row r="213" ht="15.75" customHeight="1">
      <c r="B213" s="98"/>
    </row>
    <row r="214" ht="15.75" customHeight="1">
      <c r="B214" s="98"/>
    </row>
    <row r="215" ht="15.75" customHeight="1">
      <c r="B215" s="98"/>
    </row>
    <row r="216" ht="15.75" customHeight="1">
      <c r="B216" s="98"/>
    </row>
    <row r="217" ht="15.75" customHeight="1">
      <c r="B217" s="98"/>
    </row>
    <row r="218" ht="15.75" customHeight="1">
      <c r="B218" s="98"/>
    </row>
    <row r="219" ht="15.75" customHeight="1">
      <c r="B219" s="98"/>
    </row>
    <row r="220" ht="15.75" customHeight="1">
      <c r="B220" s="9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